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0481A64A-5F38-415B-BF61-1897BBF961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8 1月" sheetId="32" r:id="rId1"/>
  </sheets>
  <definedNames>
    <definedName name="_xlnm.Print_Area" localSheetId="0">'R8 1月'!$A$1:$AM$48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1" i="32" l="1"/>
  <c r="AM35" i="32"/>
  <c r="AL35" i="32"/>
  <c r="AK35" i="32"/>
  <c r="AJ35" i="32"/>
  <c r="AM33" i="32"/>
  <c r="AL33" i="32"/>
  <c r="AK33" i="32"/>
  <c r="AJ33" i="32"/>
  <c r="AM31" i="32"/>
  <c r="AL31" i="32"/>
  <c r="AK31" i="32"/>
  <c r="AM29" i="32"/>
  <c r="AL29" i="32"/>
  <c r="AK29" i="32"/>
  <c r="AJ29" i="32"/>
  <c r="AM27" i="32"/>
  <c r="AL27" i="32"/>
  <c r="AK27" i="32"/>
  <c r="AJ27" i="32"/>
  <c r="AM25" i="32"/>
  <c r="AL25" i="32"/>
  <c r="AK25" i="32"/>
  <c r="AJ25" i="32"/>
  <c r="AM23" i="32"/>
  <c r="AL23" i="32"/>
  <c r="AK23" i="32"/>
  <c r="AJ23" i="32"/>
  <c r="AM20" i="32"/>
  <c r="AL20" i="32"/>
  <c r="AK20" i="32"/>
  <c r="AJ20" i="32"/>
  <c r="AM18" i="32"/>
  <c r="AL18" i="32"/>
  <c r="AK18" i="32"/>
  <c r="AJ18" i="32"/>
  <c r="AM16" i="32"/>
  <c r="AL16" i="32"/>
  <c r="AK16" i="32"/>
  <c r="AJ16" i="32"/>
  <c r="AM14" i="32"/>
  <c r="AL14" i="32"/>
  <c r="AK14" i="32"/>
  <c r="AJ14" i="32"/>
  <c r="AM12" i="32"/>
  <c r="AL12" i="32"/>
  <c r="AK12" i="32"/>
  <c r="AJ12" i="32"/>
  <c r="AM10" i="32"/>
  <c r="AL10" i="32"/>
  <c r="AK10" i="32"/>
  <c r="AJ10" i="32"/>
  <c r="AM8" i="32"/>
  <c r="AL8" i="32"/>
  <c r="AK8" i="32"/>
  <c r="AJ8" i="32"/>
</calcChain>
</file>

<file path=xl/sharedStrings.xml><?xml version="1.0" encoding="utf-8"?>
<sst xmlns="http://schemas.openxmlformats.org/spreadsheetml/2006/main" count="157" uniqueCount="88">
  <si>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</si>
  <si>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</si>
  <si>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</si>
  <si>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</si>
  <si>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</si>
  <si>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</si>
  <si>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</si>
  <si>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</si>
  <si>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</si>
  <si>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</si>
  <si>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</si>
  <si>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</si>
  <si>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</si>
  <si>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</si>
  <si>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</si>
  <si>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</si>
  <si>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</si>
  <si>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</si>
  <si>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</si>
  <si>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</si>
  <si>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</si>
  <si>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</si>
  <si>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</si>
  <si>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</si>
  <si>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</si>
  <si>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</si>
  <si>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9:00～14:00</t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</si>
  <si>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</si>
  <si>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</si>
  <si>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</si>
  <si>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</si>
  <si>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</si>
  <si>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</si>
  <si>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</si>
  <si>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</si>
  <si>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</si>
  <si>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</si>
  <si>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神谷 雄太</t>
    <rPh sb="0" eb="2">
      <t>カミヤ</t>
    </rPh>
    <rPh sb="3" eb="5">
      <t>ユウタ</t>
    </rPh>
    <phoneticPr fontId="3"/>
  </si>
  <si>
    <t>星野 拓也</t>
    <rPh sb="0" eb="2">
      <t>ホシノ</t>
    </rPh>
    <rPh sb="3" eb="5">
      <t>タクヤ</t>
    </rPh>
    <phoneticPr fontId="3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</si>
  <si>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</si>
  <si>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</si>
  <si>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</si>
  <si>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</si>
  <si>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</si>
  <si>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土</t>
    <rPh sb="0" eb="1">
      <t>ド</t>
    </rPh>
    <phoneticPr fontId="2"/>
  </si>
  <si>
    <t>日</t>
  </si>
  <si>
    <t>月</t>
  </si>
  <si>
    <t>火</t>
  </si>
  <si>
    <t>水</t>
  </si>
  <si>
    <t>木</t>
  </si>
  <si>
    <t>金</t>
  </si>
  <si>
    <t>土</t>
  </si>
  <si>
    <t>往診</t>
    <rPh sb="0" eb="2">
      <t>オウシン</t>
    </rPh>
    <phoneticPr fontId="2"/>
  </si>
  <si>
    <t>防災</t>
    <rPh sb="0" eb="2">
      <t>ボウサイ</t>
    </rPh>
    <phoneticPr fontId="2"/>
  </si>
  <si>
    <t>食事</t>
    <rPh sb="0" eb="2">
      <t>ショクジ</t>
    </rPh>
    <phoneticPr fontId="2"/>
  </si>
  <si>
    <t>職場環境</t>
    <rPh sb="0" eb="4">
      <t>ショクバカンキョウ</t>
    </rPh>
    <phoneticPr fontId="2"/>
  </si>
  <si>
    <t>イベント</t>
    <phoneticPr fontId="2"/>
  </si>
  <si>
    <t>喫茶</t>
    <rPh sb="0" eb="2">
      <t>キッサ</t>
    </rPh>
    <phoneticPr fontId="2"/>
  </si>
  <si>
    <t>感染褥瘡</t>
    <rPh sb="0" eb="4">
      <t>カンセンジョクソウ</t>
    </rPh>
    <phoneticPr fontId="2"/>
  </si>
  <si>
    <t>9:00～13:30</t>
  </si>
  <si>
    <t>鈴木 花菜</t>
    <rPh sb="0" eb="2">
      <t>スズキ</t>
    </rPh>
    <rPh sb="3" eb="5">
      <t>カナ</t>
    </rPh>
    <phoneticPr fontId="2"/>
  </si>
  <si>
    <t>9:00～16:00</t>
  </si>
  <si>
    <t>坂本　由莉</t>
    <rPh sb="0" eb="2">
      <t>サカモト</t>
    </rPh>
    <rPh sb="3" eb="4">
      <t>ユウ</t>
    </rPh>
    <rPh sb="4" eb="5">
      <t>リ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</si>
  <si>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</si>
  <si>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</si>
  <si>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</si>
  <si>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</si>
  <si>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</si>
  <si>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日</t>
    <rPh sb="0" eb="1">
      <t>ニチ</t>
    </rPh>
    <phoneticPr fontId="2"/>
  </si>
  <si>
    <t>SS・R会議</t>
    <rPh sb="4" eb="6">
      <t>カイギ</t>
    </rPh>
    <phoneticPr fontId="2"/>
  </si>
  <si>
    <t>広報</t>
    <rPh sb="0" eb="2">
      <t>コウホウ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</si>
  <si>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【R8.  1月】       </t>
    </r>
    <rPh sb="0" eb="2">
      <t>キンム</t>
    </rPh>
    <rPh sb="2" eb="3">
      <t>ヒョウ</t>
    </rPh>
    <rPh sb="12" eb="13">
      <t>ガツ</t>
    </rPh>
    <phoneticPr fontId="3"/>
  </si>
  <si>
    <t>いろは訪問販売</t>
    <rPh sb="3" eb="7">
      <t>ホウモンハンバイ</t>
    </rPh>
    <phoneticPr fontId="2"/>
  </si>
  <si>
    <t>リスク</t>
    <phoneticPr fontId="2"/>
  </si>
  <si>
    <t>日</t>
    <rPh sb="0" eb="1">
      <t>ニチ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</si>
  <si>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</si>
  <si>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</si>
  <si>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</si>
  <si>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</si>
  <si>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</si>
  <si>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</si>
  <si>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</si>
  <si>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夜</t>
    <rPh sb="0" eb="1">
      <t>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</si>
  <si>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</si>
  <si>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</si>
  <si>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日</t>
    <rPh sb="0" eb="1">
      <t>ニチ</t>
    </rPh>
    <phoneticPr fontId="2"/>
  </si>
  <si>
    <t>休</t>
    <rPh sb="0" eb="1">
      <t>キュウ</t>
    </rPh>
    <phoneticPr fontId="2"/>
  </si>
  <si>
    <t>常　勤</t>
    <rPh sb="0" eb="1">
      <t>ツネ</t>
    </rPh>
    <rPh sb="2" eb="3">
      <t>ツトム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</si>
</sst>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/>
    </xf>
    <xf numFmtId="0" fontId="9" fillId="5" borderId="19" xfId="1" applyFont="1" applyFill="1" applyBorder="1" applyAlignment="1">
      <alignment horizontal="center" vertical="center"/>
    </xf>
    <xf numFmtId="0" fontId="14" fillId="5" borderId="19" xfId="1" applyFont="1" applyFill="1" applyBorder="1" applyAlignment="1">
      <alignment horizontal="center" vertical="center"/>
    </xf>
    <xf numFmtId="0" fontId="11" fillId="5" borderId="18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/>
    </xf>
    <xf numFmtId="0" fontId="13" fillId="5" borderId="18" xfId="1" applyFont="1" applyFill="1" applyBorder="1" applyAlignment="1">
      <alignment horizontal="center" vertical="center"/>
    </xf>
    <xf numFmtId="0" fontId="13" fillId="5" borderId="9" xfId="1" applyFont="1" applyFill="1" applyBorder="1" applyAlignment="1">
      <alignment horizontal="center" vertical="center"/>
    </xf>
    <xf numFmtId="0" fontId="9" fillId="5" borderId="18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5" fillId="0" borderId="11" xfId="1" applyFont="1" applyBorder="1" applyAlignment="1">
      <alignment horizontal="center" vertical="top" textRotation="255" wrapText="1"/>
    </xf>
    <xf numFmtId="0" fontId="15" fillId="0" borderId="6" xfId="1" applyFont="1" applyBorder="1" applyAlignment="1">
      <alignment horizontal="center" vertical="top" textRotation="255" wrapText="1"/>
    </xf>
    <xf numFmtId="0" fontId="15" fillId="0" borderId="1" xfId="1" applyFont="1" applyBorder="1" applyAlignment="1">
      <alignment horizontal="center" vertical="top" textRotation="255" wrapText="1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16" fillId="0" borderId="11" xfId="1" applyFont="1" applyBorder="1" applyAlignment="1">
      <alignment horizontal="center" vertical="top" textRotation="255"/>
    </xf>
    <xf numFmtId="0" fontId="16" fillId="0" borderId="6" xfId="1" applyFont="1" applyBorder="1" applyAlignment="1">
      <alignment horizontal="center" vertical="top" textRotation="255"/>
    </xf>
    <xf numFmtId="0" fontId="16" fillId="0" borderId="1" xfId="1" applyFont="1" applyBorder="1" applyAlignment="1">
      <alignment horizontal="center" vertical="top" textRotation="255"/>
    </xf>
    <xf numFmtId="0" fontId="15" fillId="2" borderId="11" xfId="1" applyFont="1" applyFill="1" applyBorder="1" applyAlignment="1">
      <alignment horizontal="center" vertical="top" textRotation="255" wrapText="1"/>
    </xf>
    <xf numFmtId="0" fontId="15" fillId="2" borderId="6" xfId="1" applyFont="1" applyFill="1" applyBorder="1" applyAlignment="1">
      <alignment horizontal="center" vertical="top" textRotation="255" wrapText="1"/>
    </xf>
    <xf numFmtId="0" fontId="15" fillId="2" borderId="1" xfId="1" applyFont="1" applyFill="1" applyBorder="1" applyAlignment="1">
      <alignment horizontal="center" vertical="top" textRotation="255" wrapText="1"/>
    </xf>
    <xf numFmtId="0" fontId="15" fillId="0" borderId="11" xfId="1" applyFont="1" applyBorder="1" applyAlignment="1">
      <alignment horizontal="center" vertical="top" textRotation="255"/>
    </xf>
    <xf numFmtId="0" fontId="15" fillId="0" borderId="6" xfId="1" applyFont="1" applyBorder="1" applyAlignment="1">
      <alignment horizontal="center" vertical="top" textRotation="255"/>
    </xf>
    <xf numFmtId="0" fontId="15" fillId="0" borderId="1" xfId="1" applyFont="1" applyBorder="1" applyAlignment="1">
      <alignment horizontal="center" vertical="top" textRotation="255"/>
    </xf>
    <xf numFmtId="0" fontId="15" fillId="0" borderId="11" xfId="1" applyFont="1" applyBorder="1" applyAlignment="1">
      <alignment vertical="top" textRotation="255" shrinkToFit="1"/>
    </xf>
    <xf numFmtId="0" fontId="15" fillId="0" borderId="6" xfId="1" applyFont="1" applyBorder="1" applyAlignment="1">
      <alignment vertical="top" textRotation="255" shrinkToFit="1"/>
    </xf>
    <xf numFmtId="0" fontId="15" fillId="0" borderId="1" xfId="1" applyFont="1" applyBorder="1" applyAlignment="1">
      <alignment vertical="top" textRotation="255" shrinkToFit="1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33CC"/>
      <color rgb="FFFF66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51954</xdr:colOff>
      <xdr:row>44</xdr:row>
      <xdr:rowOff>43295</xdr:rowOff>
    </xdr:from>
    <xdr:to>
      <xdr:col>9</xdr:col>
      <xdr:colOff>190500</xdr:colOff>
      <xdr:row>44</xdr:row>
      <xdr:rowOff>43295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796886" y="7091795"/>
          <a:ext cx="135081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69273</xdr:colOff>
      <xdr:row>43</xdr:row>
      <xdr:rowOff>17318</xdr:rowOff>
    </xdr:from>
    <xdr:to>
      <xdr:col>8</xdr:col>
      <xdr:colOff>190501</xdr:colOff>
      <xdr:row>44</xdr:row>
      <xdr:rowOff>138545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56659" y="6875318"/>
          <a:ext cx="848592" cy="31172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初詣週間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M47"/>
  <sheetViews>
    <sheetView tabSelected="1" zoomScale="110" zoomScaleNormal="110" workbookViewId="0">
      <selection activeCell="J33" sqref="J33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 x14ac:dyDescent="0.4">
      <c r="A3" s="98" t="s">
        <v>71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</row>
    <row r="4" spans="1:39" ht="15" customHeight="1" x14ac:dyDescent="0.4">
      <c r="B4" s="31" t="s">
        <v>34</v>
      </c>
      <c r="C4" s="99" t="s">
        <v>33</v>
      </c>
      <c r="D4" s="99"/>
    </row>
    <row r="5" spans="1:39" ht="10.5" customHeight="1" x14ac:dyDescent="0.4"/>
    <row r="6" spans="1:39" ht="15" customHeight="1" x14ac:dyDescent="0.4">
      <c r="B6" s="100" t="s">
        <v>32</v>
      </c>
      <c r="C6" s="102" t="s">
        <v>31</v>
      </c>
      <c r="D6" s="100" t="s">
        <v>30</v>
      </c>
      <c r="E6" s="44">
        <v>1</v>
      </c>
      <c r="F6" s="44">
        <v>2</v>
      </c>
      <c r="G6" s="44">
        <v>3</v>
      </c>
      <c r="H6" s="39">
        <v>4</v>
      </c>
      <c r="I6" s="39">
        <v>5</v>
      </c>
      <c r="J6" s="39">
        <v>6</v>
      </c>
      <c r="K6" s="39">
        <v>7</v>
      </c>
      <c r="L6" s="39">
        <v>8</v>
      </c>
      <c r="M6" s="39">
        <v>9</v>
      </c>
      <c r="N6" s="39">
        <v>10</v>
      </c>
      <c r="O6" s="39">
        <v>11</v>
      </c>
      <c r="P6" s="39">
        <v>12</v>
      </c>
      <c r="Q6" s="39">
        <v>13</v>
      </c>
      <c r="R6" s="39">
        <v>14</v>
      </c>
      <c r="S6" s="39">
        <v>15</v>
      </c>
      <c r="T6" s="39">
        <v>16</v>
      </c>
      <c r="U6" s="39">
        <v>17</v>
      </c>
      <c r="V6" s="39">
        <v>18</v>
      </c>
      <c r="W6" s="39">
        <v>19</v>
      </c>
      <c r="X6" s="39">
        <v>20</v>
      </c>
      <c r="Y6" s="39">
        <v>21</v>
      </c>
      <c r="Z6" s="39">
        <v>22</v>
      </c>
      <c r="AA6" s="39">
        <v>23</v>
      </c>
      <c r="AB6" s="39">
        <v>24</v>
      </c>
      <c r="AC6" s="39">
        <v>25</v>
      </c>
      <c r="AD6" s="39">
        <v>26</v>
      </c>
      <c r="AE6" s="39">
        <v>27</v>
      </c>
      <c r="AF6" s="39">
        <v>28</v>
      </c>
      <c r="AG6" s="39">
        <v>29</v>
      </c>
      <c r="AH6" s="39">
        <v>30</v>
      </c>
      <c r="AI6" s="39">
        <v>31</v>
      </c>
      <c r="AJ6" s="27" t="s">
        <v>23</v>
      </c>
      <c r="AK6" s="13" t="s">
        <v>20</v>
      </c>
      <c r="AL6" s="13" t="s">
        <v>21</v>
      </c>
      <c r="AM6" s="13" t="s">
        <v>17</v>
      </c>
    </row>
    <row r="7" spans="1:39" ht="15" customHeight="1" x14ac:dyDescent="0.4">
      <c r="B7" s="101"/>
      <c r="C7" s="103"/>
      <c r="D7" s="103"/>
      <c r="E7" s="45" t="s">
        <v>66</v>
      </c>
      <c r="F7" s="45" t="s">
        <v>67</v>
      </c>
      <c r="G7" s="45" t="s">
        <v>44</v>
      </c>
      <c r="H7" s="40" t="s">
        <v>68</v>
      </c>
      <c r="I7" s="40" t="s">
        <v>46</v>
      </c>
      <c r="J7" s="40" t="s">
        <v>47</v>
      </c>
      <c r="K7" s="40" t="s">
        <v>48</v>
      </c>
      <c r="L7" s="40" t="s">
        <v>49</v>
      </c>
      <c r="M7" s="40" t="s">
        <v>50</v>
      </c>
      <c r="N7" s="40" t="s">
        <v>51</v>
      </c>
      <c r="O7" s="40" t="s">
        <v>45</v>
      </c>
      <c r="P7" s="40" t="s">
        <v>63</v>
      </c>
      <c r="Q7" s="40" t="s">
        <v>64</v>
      </c>
      <c r="R7" s="40" t="s">
        <v>65</v>
      </c>
      <c r="S7" s="40" t="s">
        <v>66</v>
      </c>
      <c r="T7" s="40" t="s">
        <v>67</v>
      </c>
      <c r="U7" s="40" t="s">
        <v>44</v>
      </c>
      <c r="V7" s="40" t="s">
        <v>68</v>
      </c>
      <c r="W7" s="40" t="s">
        <v>63</v>
      </c>
      <c r="X7" s="40" t="s">
        <v>64</v>
      </c>
      <c r="Y7" s="40" t="s">
        <v>65</v>
      </c>
      <c r="Z7" s="40" t="s">
        <v>66</v>
      </c>
      <c r="AA7" s="40" t="s">
        <v>67</v>
      </c>
      <c r="AB7" s="40" t="s">
        <v>44</v>
      </c>
      <c r="AC7" s="40" t="s">
        <v>68</v>
      </c>
      <c r="AD7" s="40" t="s">
        <v>63</v>
      </c>
      <c r="AE7" s="40" t="s">
        <v>64</v>
      </c>
      <c r="AF7" s="40" t="s">
        <v>65</v>
      </c>
      <c r="AG7" s="40" t="s">
        <v>66</v>
      </c>
      <c r="AH7" s="40" t="s">
        <v>67</v>
      </c>
      <c r="AI7" s="40" t="s">
        <v>44</v>
      </c>
      <c r="AJ7" s="26"/>
      <c r="AK7" s="13"/>
      <c r="AL7" s="13"/>
      <c r="AM7" s="13"/>
    </row>
    <row r="8" spans="1:39" ht="11.25" customHeight="1" x14ac:dyDescent="0.4">
      <c r="A8" s="91" t="s">
        <v>29</v>
      </c>
      <c r="B8" s="87" t="s">
        <v>24</v>
      </c>
      <c r="C8" s="18" t="s">
        <v>22</v>
      </c>
      <c r="D8" s="96" t="s">
        <v>39</v>
      </c>
      <c r="E8" s="46" t="s">
        <v>84</v>
      </c>
      <c r="F8" s="46" t="s">
        <v>80</v>
      </c>
      <c r="G8" s="46" t="s">
        <v>83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13">
        <f>COUNTIF(E8:AI8,"夜")</f>
        <v>0</v>
      </c>
      <c r="AK8" s="13">
        <f>COUNTIF(E8:AI8,"早")</f>
        <v>1</v>
      </c>
      <c r="AL8" s="13">
        <f>COUNTIF(E8:AI8,"遅")</f>
        <v>1</v>
      </c>
      <c r="AM8" s="13">
        <f>COUNTIF(E8:AI8,"休")</f>
        <v>1</v>
      </c>
    </row>
    <row r="9" spans="1:39" ht="11.25" customHeight="1" x14ac:dyDescent="0.4">
      <c r="A9" s="92"/>
      <c r="B9" s="88"/>
      <c r="C9" s="15" t="s">
        <v>16</v>
      </c>
      <c r="D9" s="97"/>
      <c r="E9" s="47"/>
      <c r="F9" s="47"/>
      <c r="G9" s="47"/>
      <c r="H9" s="38"/>
      <c r="I9" s="38"/>
      <c r="J9" s="38"/>
      <c r="K9" s="38"/>
      <c r="L9" s="38"/>
      <c r="M9" s="38"/>
      <c r="N9" s="42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13"/>
      <c r="AK9" s="13"/>
      <c r="AL9" s="13"/>
      <c r="AM9" s="13"/>
    </row>
    <row r="10" spans="1:39" ht="11.25" customHeight="1" x14ac:dyDescent="0.4">
      <c r="A10" s="92"/>
      <c r="B10" s="87" t="s">
        <v>28</v>
      </c>
      <c r="C10" s="18" t="s">
        <v>22</v>
      </c>
      <c r="D10" s="96" t="s">
        <v>40</v>
      </c>
      <c r="E10" s="46" t="s">
        <v>81</v>
      </c>
      <c r="F10" s="46" t="s">
        <v>84</v>
      </c>
      <c r="G10" s="46" t="s">
        <v>85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13">
        <f>COUNTIF(E10:AI10,"夜")</f>
        <v>0</v>
      </c>
      <c r="AK10" s="13">
        <f>COUNTIF(E10:AI10,"早")</f>
        <v>0</v>
      </c>
      <c r="AL10" s="13">
        <f>COUNTIF(E10:AI10,"遅")</f>
        <v>1</v>
      </c>
      <c r="AM10" s="13">
        <f>COUNTIF(E10:AI10,"休")</f>
        <v>1</v>
      </c>
    </row>
    <row r="11" spans="1:39" ht="11.25" customHeight="1" x14ac:dyDescent="0.4">
      <c r="A11" s="92"/>
      <c r="B11" s="88"/>
      <c r="C11" s="15" t="s">
        <v>16</v>
      </c>
      <c r="D11" s="97"/>
      <c r="E11" s="47"/>
      <c r="F11" s="47"/>
      <c r="G11" s="47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42"/>
      <c r="AA11" s="38"/>
      <c r="AB11" s="38"/>
      <c r="AC11" s="38"/>
      <c r="AD11" s="38"/>
      <c r="AE11" s="38"/>
      <c r="AF11" s="38"/>
      <c r="AG11" s="38"/>
      <c r="AH11" s="38"/>
      <c r="AI11" s="38"/>
      <c r="AJ11" s="13"/>
      <c r="AK11" s="13"/>
      <c r="AL11" s="13"/>
      <c r="AM11" s="13"/>
    </row>
    <row r="12" spans="1:39" ht="11.25" customHeight="1" x14ac:dyDescent="0.4">
      <c r="A12" s="92"/>
      <c r="B12" s="87" t="s">
        <v>19</v>
      </c>
      <c r="C12" s="18" t="s">
        <v>22</v>
      </c>
      <c r="D12" s="96" t="s">
        <v>41</v>
      </c>
      <c r="E12" s="46" t="s">
        <v>74</v>
      </c>
      <c r="F12" s="46" t="s">
        <v>74</v>
      </c>
      <c r="G12" s="46" t="s">
        <v>75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1</v>
      </c>
    </row>
    <row r="13" spans="1:39" ht="11.25" customHeight="1" x14ac:dyDescent="0.4">
      <c r="A13" s="92"/>
      <c r="B13" s="88"/>
      <c r="C13" s="15" t="s">
        <v>16</v>
      </c>
      <c r="D13" s="97"/>
      <c r="E13" s="47"/>
      <c r="F13" s="47"/>
      <c r="G13" s="4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2"/>
      <c r="AE13" s="38"/>
      <c r="AF13" s="38"/>
      <c r="AG13" s="38"/>
      <c r="AH13" s="38"/>
      <c r="AI13" s="38"/>
      <c r="AJ13" s="13"/>
      <c r="AK13" s="13"/>
      <c r="AL13" s="13"/>
      <c r="AM13" s="13"/>
    </row>
    <row r="14" spans="1:39" ht="11.25" customHeight="1" x14ac:dyDescent="0.4">
      <c r="A14" s="92"/>
      <c r="B14" s="87" t="s">
        <v>19</v>
      </c>
      <c r="C14" s="18" t="s">
        <v>22</v>
      </c>
      <c r="D14" s="96" t="s">
        <v>37</v>
      </c>
      <c r="E14" s="46" t="s">
        <v>79</v>
      </c>
      <c r="F14" s="46" t="s">
        <v>83</v>
      </c>
      <c r="G14" s="46" t="s">
        <v>84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13">
        <f>COUNTIF(E14:AI14,"夜")</f>
        <v>0</v>
      </c>
      <c r="AK14" s="13">
        <f>COUNTIF(E14:AI14,"早")</f>
        <v>1</v>
      </c>
      <c r="AL14" s="13">
        <f>COUNTIF(E14:AI14,"遅")</f>
        <v>1</v>
      </c>
      <c r="AM14" s="13">
        <f>COUNTIF(E14:AI14,"休")</f>
        <v>1</v>
      </c>
    </row>
    <row r="15" spans="1:39" ht="11.25" customHeight="1" x14ac:dyDescent="0.4">
      <c r="A15" s="92"/>
      <c r="B15" s="88"/>
      <c r="C15" s="15" t="s">
        <v>16</v>
      </c>
      <c r="D15" s="97"/>
      <c r="E15" s="47"/>
      <c r="F15" s="47"/>
      <c r="G15" s="4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13"/>
      <c r="AK15" s="13"/>
      <c r="AL15" s="13"/>
      <c r="AM15" s="13"/>
    </row>
    <row r="16" spans="1:39" ht="11.25" customHeight="1" x14ac:dyDescent="0.4">
      <c r="A16" s="92"/>
      <c r="B16" s="87" t="s">
        <v>19</v>
      </c>
      <c r="C16" s="18" t="s">
        <v>22</v>
      </c>
      <c r="D16" s="96" t="s">
        <v>27</v>
      </c>
      <c r="E16" s="46" t="s">
        <v>83</v>
      </c>
      <c r="F16" s="46" t="s">
        <v>82</v>
      </c>
      <c r="G16" s="46" t="s">
        <v>81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13">
        <f>COUNTIF(E16:AI16,"夜")</f>
        <v>1</v>
      </c>
      <c r="AK16" s="13">
        <f>COUNTIF(E16:AI16,"早")</f>
        <v>1</v>
      </c>
      <c r="AL16" s="13">
        <f>COUNTIF(E16:AI16,"遅")</f>
        <v>0</v>
      </c>
      <c r="AM16" s="13">
        <f>COUNTIF(E16:AI16,"休")</f>
        <v>1</v>
      </c>
    </row>
    <row r="17" spans="1:39" ht="11.25" customHeight="1" x14ac:dyDescent="0.4">
      <c r="A17" s="92"/>
      <c r="B17" s="88"/>
      <c r="C17" s="15" t="s">
        <v>16</v>
      </c>
      <c r="D17" s="97"/>
      <c r="E17" s="47"/>
      <c r="F17" s="47"/>
      <c r="G17" s="4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13"/>
      <c r="AK17" s="13"/>
      <c r="AL17" s="13"/>
      <c r="AM17" s="13"/>
    </row>
    <row r="18" spans="1:39" ht="11.25" customHeight="1" x14ac:dyDescent="0.4">
      <c r="A18" s="92"/>
      <c r="B18" s="87" t="s">
        <v>19</v>
      </c>
      <c r="C18" s="18" t="s">
        <v>18</v>
      </c>
      <c r="D18" s="28" t="s">
        <v>42</v>
      </c>
      <c r="E18" s="46" t="s">
        <v>77</v>
      </c>
      <c r="F18" s="46" t="s">
        <v>77</v>
      </c>
      <c r="G18" s="46" t="s">
        <v>77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3</v>
      </c>
    </row>
    <row r="19" spans="1:39" ht="11.25" customHeight="1" x14ac:dyDescent="0.4">
      <c r="A19" s="92"/>
      <c r="B19" s="88"/>
      <c r="C19" s="15" t="s">
        <v>16</v>
      </c>
      <c r="D19" s="19" t="s">
        <v>26</v>
      </c>
      <c r="E19" s="47"/>
      <c r="F19" s="47"/>
      <c r="G19" s="4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13"/>
      <c r="AK19" s="13"/>
      <c r="AL19" s="13"/>
      <c r="AM19" s="13"/>
    </row>
    <row r="20" spans="1:39" ht="11.25" customHeight="1" x14ac:dyDescent="0.4">
      <c r="A20" s="92"/>
      <c r="B20" s="87"/>
      <c r="C20" s="18"/>
      <c r="D20" s="28"/>
      <c r="E20" s="46"/>
      <c r="F20" s="46"/>
      <c r="G20" s="4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0</v>
      </c>
    </row>
    <row r="21" spans="1:39" ht="11.25" customHeight="1" x14ac:dyDescent="0.4">
      <c r="A21" s="93"/>
      <c r="B21" s="88"/>
      <c r="C21" s="15"/>
      <c r="D21" s="29"/>
      <c r="E21" s="47"/>
      <c r="F21" s="47"/>
      <c r="G21" s="47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3"/>
      <c r="AK21" s="13"/>
      <c r="AL21" s="13"/>
      <c r="AM21" s="13"/>
    </row>
    <row r="22" spans="1:39" ht="7.5" customHeight="1" x14ac:dyDescent="0.4">
      <c r="A22" s="25"/>
      <c r="B22" s="24"/>
      <c r="C22" s="23"/>
      <c r="D22" s="22"/>
      <c r="E22" s="21"/>
      <c r="F22" s="21"/>
      <c r="G22" s="21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3"/>
      <c r="AK22" s="13"/>
      <c r="AL22" s="13"/>
      <c r="AM22" s="13"/>
    </row>
    <row r="23" spans="1:39" ht="11.25" customHeight="1" x14ac:dyDescent="0.4">
      <c r="A23" s="91" t="s">
        <v>25</v>
      </c>
      <c r="B23" s="87" t="s">
        <v>24</v>
      </c>
      <c r="C23" s="18" t="s">
        <v>22</v>
      </c>
      <c r="D23" s="94" t="s">
        <v>35</v>
      </c>
      <c r="E23" s="48" t="s">
        <v>82</v>
      </c>
      <c r="F23" s="48" t="s">
        <v>81</v>
      </c>
      <c r="G23" s="48" t="s">
        <v>83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13">
        <f>COUNTIF(E23:AI23,"夜")</f>
        <v>1</v>
      </c>
      <c r="AK23" s="13">
        <f>COUNTIF(E23:AI23,"早")</f>
        <v>1</v>
      </c>
      <c r="AL23" s="13">
        <f>COUNTIF(E23:AI23,"遅")</f>
        <v>0</v>
      </c>
      <c r="AM23" s="13">
        <f>COUNTIF(E23:AI23,"休")</f>
        <v>1</v>
      </c>
    </row>
    <row r="24" spans="1:39" ht="11.25" customHeight="1" x14ac:dyDescent="0.4">
      <c r="A24" s="92"/>
      <c r="B24" s="88"/>
      <c r="C24" s="15" t="s">
        <v>16</v>
      </c>
      <c r="D24" s="95"/>
      <c r="E24" s="49"/>
      <c r="F24" s="49"/>
      <c r="G24" s="49"/>
      <c r="H24" s="34"/>
      <c r="I24" s="3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13"/>
      <c r="AK24" s="13"/>
      <c r="AL24" s="13"/>
      <c r="AM24" s="13"/>
    </row>
    <row r="25" spans="1:39" ht="11.25" customHeight="1" x14ac:dyDescent="0.4">
      <c r="A25" s="92"/>
      <c r="B25" s="87" t="s">
        <v>19</v>
      </c>
      <c r="C25" s="18" t="s">
        <v>22</v>
      </c>
      <c r="D25" s="94" t="s">
        <v>36</v>
      </c>
      <c r="E25" s="48" t="s">
        <v>83</v>
      </c>
      <c r="F25" s="48" t="s">
        <v>84</v>
      </c>
      <c r="G25" s="48" t="s">
        <v>85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13">
        <f>COUNTIF(E25:AI25,"夜")</f>
        <v>0</v>
      </c>
      <c r="AK25" s="13">
        <f>COUNTIF(E25:AI25,"早")</f>
        <v>1</v>
      </c>
      <c r="AL25" s="13">
        <f>COUNTIF(E25:AI25,"遅")</f>
        <v>1</v>
      </c>
      <c r="AM25" s="13">
        <f>COUNTIF(E25:AI25,"休")</f>
        <v>0</v>
      </c>
    </row>
    <row r="26" spans="1:39" ht="11.25" customHeight="1" x14ac:dyDescent="0.4">
      <c r="A26" s="92"/>
      <c r="B26" s="88"/>
      <c r="C26" s="15" t="s">
        <v>16</v>
      </c>
      <c r="D26" s="95"/>
      <c r="E26" s="49"/>
      <c r="F26" s="50"/>
      <c r="G26" s="49"/>
      <c r="H26" s="35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13"/>
      <c r="AK26" s="13"/>
      <c r="AL26" s="13"/>
      <c r="AM26" s="13"/>
    </row>
    <row r="27" spans="1:39" ht="11.25" customHeight="1" x14ac:dyDescent="0.4">
      <c r="A27" s="92"/>
      <c r="B27" s="87" t="s">
        <v>19</v>
      </c>
      <c r="C27" s="18" t="s">
        <v>22</v>
      </c>
      <c r="D27" s="94" t="s">
        <v>38</v>
      </c>
      <c r="E27" s="48" t="s">
        <v>84</v>
      </c>
      <c r="F27" s="48" t="s">
        <v>85</v>
      </c>
      <c r="G27" s="48" t="s">
        <v>82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13">
        <f>COUNTIF(E27:AI27,"夜")</f>
        <v>1</v>
      </c>
      <c r="AK27" s="13">
        <f>COUNTIF(E27:AI27,"早")</f>
        <v>0</v>
      </c>
      <c r="AL27" s="13">
        <f>COUNTIF(E27:AI27,"遅")</f>
        <v>1</v>
      </c>
      <c r="AM27" s="13">
        <f>COUNTIF(E27:AI27,"休")</f>
        <v>0</v>
      </c>
    </row>
    <row r="28" spans="1:39" ht="11.25" customHeight="1" x14ac:dyDescent="0.4">
      <c r="A28" s="92"/>
      <c r="B28" s="88"/>
      <c r="C28" s="15" t="s">
        <v>16</v>
      </c>
      <c r="D28" s="95"/>
      <c r="E28" s="49"/>
      <c r="F28" s="49"/>
      <c r="G28" s="49"/>
      <c r="H28" s="35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13"/>
      <c r="AK28" s="13"/>
      <c r="AL28" s="13"/>
      <c r="AM28" s="13"/>
    </row>
    <row r="29" spans="1:39" ht="11.25" customHeight="1" x14ac:dyDescent="0.4">
      <c r="A29" s="92"/>
      <c r="B29" s="87" t="s">
        <v>19</v>
      </c>
      <c r="C29" s="18" t="s">
        <v>22</v>
      </c>
      <c r="D29" s="94" t="s">
        <v>60</v>
      </c>
      <c r="E29" s="48" t="s">
        <v>76</v>
      </c>
      <c r="F29" s="48" t="s">
        <v>83</v>
      </c>
      <c r="G29" s="48" t="s">
        <v>84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13">
        <f>COUNTIF(E29:AI29,"夜")</f>
        <v>0</v>
      </c>
      <c r="AK29" s="13">
        <f>COUNTIF(E29:AI29,"早")</f>
        <v>1</v>
      </c>
      <c r="AL29" s="13">
        <f>COUNTIF(E29:AI29,"遅")</f>
        <v>1</v>
      </c>
      <c r="AM29" s="13">
        <f>COUNTIF(E29:AI29,"休")</f>
        <v>1</v>
      </c>
    </row>
    <row r="30" spans="1:39" ht="11.25" customHeight="1" x14ac:dyDescent="0.4">
      <c r="A30" s="92"/>
      <c r="B30" s="88"/>
      <c r="C30" s="15" t="s">
        <v>16</v>
      </c>
      <c r="D30" s="95"/>
      <c r="E30" s="49"/>
      <c r="F30" s="49"/>
      <c r="G30" s="49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13"/>
      <c r="AK30" s="13"/>
      <c r="AL30" s="13"/>
      <c r="AM30" s="13"/>
    </row>
    <row r="31" spans="1:39" ht="11.25" customHeight="1" x14ac:dyDescent="0.4">
      <c r="A31" s="92"/>
      <c r="B31" s="87" t="s">
        <v>19</v>
      </c>
      <c r="C31" s="18" t="s">
        <v>87</v>
      </c>
      <c r="D31" s="28" t="s">
        <v>62</v>
      </c>
      <c r="E31" s="51">
        <v>6</v>
      </c>
      <c r="F31" s="51" t="s">
        <v>86</v>
      </c>
      <c r="G31" s="43">
        <v>6</v>
      </c>
      <c r="H31" s="36"/>
      <c r="I31" s="33"/>
      <c r="J31" s="36"/>
      <c r="K31" s="36"/>
      <c r="L31" s="36"/>
      <c r="M31" s="36"/>
      <c r="N31" s="36"/>
      <c r="O31" s="37"/>
      <c r="P31" s="37"/>
      <c r="Q31" s="36"/>
      <c r="R31" s="36"/>
      <c r="S31" s="36"/>
      <c r="T31" s="36"/>
      <c r="U31" s="36"/>
      <c r="V31" s="37"/>
      <c r="W31" s="37"/>
      <c r="X31" s="33"/>
      <c r="Y31" s="36"/>
      <c r="Z31" s="36"/>
      <c r="AA31" s="36"/>
      <c r="AB31" s="36"/>
      <c r="AC31" s="36"/>
      <c r="AD31" s="37"/>
      <c r="AE31" s="36"/>
      <c r="AF31" s="36"/>
      <c r="AG31" s="37"/>
      <c r="AH31" s="36"/>
      <c r="AI31" s="36"/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1</v>
      </c>
    </row>
    <row r="32" spans="1:39" ht="11.25" customHeight="1" x14ac:dyDescent="0.4">
      <c r="A32" s="92"/>
      <c r="B32" s="88"/>
      <c r="C32" s="15" t="s">
        <v>16</v>
      </c>
      <c r="D32" s="32" t="s">
        <v>61</v>
      </c>
      <c r="E32" s="49"/>
      <c r="F32" s="49"/>
      <c r="G32" s="49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13"/>
      <c r="AK32" s="13"/>
      <c r="AL32" s="13"/>
      <c r="AM32" s="13"/>
    </row>
    <row r="33" spans="1:39" ht="11.25" customHeight="1" x14ac:dyDescent="0.4">
      <c r="A33" s="92"/>
      <c r="B33" s="87" t="s">
        <v>19</v>
      </c>
      <c r="C33" s="18" t="s">
        <v>18</v>
      </c>
      <c r="D33" s="28" t="s">
        <v>43</v>
      </c>
      <c r="E33" s="43" t="s">
        <v>78</v>
      </c>
      <c r="F33" s="48" t="s">
        <v>78</v>
      </c>
      <c r="G33" s="43" t="s">
        <v>78</v>
      </c>
      <c r="H33" s="37"/>
      <c r="I33" s="33"/>
      <c r="J33" s="33"/>
      <c r="K33" s="37"/>
      <c r="L33" s="37"/>
      <c r="M33" s="33"/>
      <c r="N33" s="37"/>
      <c r="O33" s="37"/>
      <c r="P33" s="37"/>
      <c r="Q33" s="33"/>
      <c r="R33" s="37"/>
      <c r="S33" s="37"/>
      <c r="T33" s="37"/>
      <c r="U33" s="33"/>
      <c r="V33" s="37"/>
      <c r="W33" s="37"/>
      <c r="X33" s="33"/>
      <c r="Y33" s="37"/>
      <c r="Z33" s="37"/>
      <c r="AA33" s="37"/>
      <c r="AB33" s="37"/>
      <c r="AC33" s="37"/>
      <c r="AD33" s="33"/>
      <c r="AE33" s="33"/>
      <c r="AF33" s="37"/>
      <c r="AG33" s="33"/>
      <c r="AH33" s="37"/>
      <c r="AI33" s="37"/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3</v>
      </c>
    </row>
    <row r="34" spans="1:39" ht="11.25" customHeight="1" x14ac:dyDescent="0.4">
      <c r="A34" s="92"/>
      <c r="B34" s="88"/>
      <c r="C34" s="15" t="s">
        <v>16</v>
      </c>
      <c r="D34" s="19" t="s">
        <v>59</v>
      </c>
      <c r="E34" s="49"/>
      <c r="F34" s="49"/>
      <c r="G34" s="49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8"/>
      <c r="AJ34" s="13"/>
      <c r="AK34" s="13"/>
      <c r="AL34" s="13"/>
      <c r="AM34" s="13"/>
    </row>
    <row r="35" spans="1:39" ht="11.25" customHeight="1" x14ac:dyDescent="0.4">
      <c r="A35" s="92"/>
      <c r="B35" s="87"/>
      <c r="C35" s="18"/>
      <c r="D35" s="28"/>
      <c r="E35" s="46"/>
      <c r="F35" s="46"/>
      <c r="G35" s="4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3">
        <f>COUNTIF(E33:AI33,"夜")</f>
        <v>0</v>
      </c>
      <c r="AK35" s="13">
        <f>COUNTIF(E35:AI35,"早")</f>
        <v>0</v>
      </c>
      <c r="AL35" s="13">
        <f>COUNTIF(E35:AI35,"遅")</f>
        <v>0</v>
      </c>
      <c r="AM35" s="13">
        <f>COUNTIF(E35:AI35,"休")</f>
        <v>0</v>
      </c>
    </row>
    <row r="36" spans="1:39" ht="11.25" customHeight="1" x14ac:dyDescent="0.4">
      <c r="A36" s="93"/>
      <c r="B36" s="88"/>
      <c r="C36" s="15"/>
      <c r="D36" s="19"/>
      <c r="E36" s="52"/>
      <c r="F36" s="52"/>
      <c r="G36" s="5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30"/>
      <c r="B37" s="9"/>
      <c r="C37" s="12"/>
      <c r="D37" s="9"/>
      <c r="E37" s="11" t="s">
        <v>15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14</v>
      </c>
      <c r="C38" s="89" t="s">
        <v>13</v>
      </c>
      <c r="D38" s="90"/>
      <c r="E38" s="70"/>
      <c r="F38" s="60" t="s">
        <v>53</v>
      </c>
      <c r="G38" s="54"/>
      <c r="H38" s="54"/>
      <c r="I38" s="54"/>
      <c r="J38" s="60"/>
      <c r="K38" s="54"/>
      <c r="L38" s="78" t="s">
        <v>52</v>
      </c>
      <c r="M38" s="54" t="s">
        <v>72</v>
      </c>
      <c r="N38" s="54"/>
      <c r="O38" s="54"/>
      <c r="P38" s="54" t="s">
        <v>54</v>
      </c>
      <c r="Q38" s="54"/>
      <c r="R38" s="54" t="s">
        <v>69</v>
      </c>
      <c r="S38" s="81"/>
      <c r="T38" s="84" t="s">
        <v>73</v>
      </c>
      <c r="U38" s="54"/>
      <c r="V38" s="54"/>
      <c r="W38" s="75" t="s">
        <v>70</v>
      </c>
      <c r="X38" s="60"/>
      <c r="Y38" s="54" t="s">
        <v>55</v>
      </c>
      <c r="Z38" s="63" t="s">
        <v>52</v>
      </c>
      <c r="AA38" s="63" t="s">
        <v>58</v>
      </c>
      <c r="AB38" s="54"/>
      <c r="AC38" s="54"/>
      <c r="AD38" s="54" t="s">
        <v>56</v>
      </c>
      <c r="AE38" s="54"/>
      <c r="AF38" s="54" t="s">
        <v>57</v>
      </c>
      <c r="AG38" s="54"/>
      <c r="AH38" s="54"/>
      <c r="AI38" s="57"/>
    </row>
    <row r="39" spans="1:39" ht="15" customHeight="1" x14ac:dyDescent="0.4">
      <c r="B39" s="7" t="s">
        <v>12</v>
      </c>
      <c r="C39" s="73" t="s">
        <v>11</v>
      </c>
      <c r="D39" s="74"/>
      <c r="E39" s="71"/>
      <c r="F39" s="61"/>
      <c r="G39" s="55"/>
      <c r="H39" s="55"/>
      <c r="I39" s="55"/>
      <c r="J39" s="61"/>
      <c r="K39" s="55"/>
      <c r="L39" s="79"/>
      <c r="M39" s="55"/>
      <c r="N39" s="55"/>
      <c r="O39" s="55"/>
      <c r="P39" s="55"/>
      <c r="Q39" s="55"/>
      <c r="R39" s="55"/>
      <c r="S39" s="82"/>
      <c r="T39" s="85"/>
      <c r="U39" s="55"/>
      <c r="V39" s="55"/>
      <c r="W39" s="76"/>
      <c r="X39" s="61"/>
      <c r="Y39" s="55"/>
      <c r="Z39" s="64"/>
      <c r="AA39" s="64"/>
      <c r="AB39" s="55"/>
      <c r="AC39" s="55"/>
      <c r="AD39" s="55"/>
      <c r="AE39" s="55"/>
      <c r="AF39" s="55"/>
      <c r="AG39" s="55"/>
      <c r="AH39" s="55"/>
      <c r="AI39" s="58"/>
    </row>
    <row r="40" spans="1:39" ht="15" customHeight="1" x14ac:dyDescent="0.4">
      <c r="B40" s="7" t="s">
        <v>10</v>
      </c>
      <c r="C40" s="73" t="s">
        <v>9</v>
      </c>
      <c r="D40" s="74"/>
      <c r="E40" s="71"/>
      <c r="F40" s="61"/>
      <c r="G40" s="55"/>
      <c r="H40" s="55"/>
      <c r="I40" s="55"/>
      <c r="J40" s="61"/>
      <c r="K40" s="55"/>
      <c r="L40" s="79"/>
      <c r="M40" s="55"/>
      <c r="N40" s="55"/>
      <c r="O40" s="55"/>
      <c r="P40" s="55"/>
      <c r="Q40" s="55"/>
      <c r="R40" s="55"/>
      <c r="S40" s="82"/>
      <c r="T40" s="85"/>
      <c r="U40" s="55"/>
      <c r="V40" s="55"/>
      <c r="W40" s="76"/>
      <c r="X40" s="61"/>
      <c r="Y40" s="55"/>
      <c r="Z40" s="64"/>
      <c r="AA40" s="64"/>
      <c r="AB40" s="55"/>
      <c r="AC40" s="55"/>
      <c r="AD40" s="55"/>
      <c r="AE40" s="55"/>
      <c r="AF40" s="55"/>
      <c r="AG40" s="55"/>
      <c r="AH40" s="55"/>
      <c r="AI40" s="58"/>
    </row>
    <row r="41" spans="1:39" ht="15" customHeight="1" x14ac:dyDescent="0.4">
      <c r="B41" s="7" t="s">
        <v>8</v>
      </c>
      <c r="C41" s="73" t="s">
        <v>7</v>
      </c>
      <c r="D41" s="74"/>
      <c r="E41" s="71"/>
      <c r="F41" s="61"/>
      <c r="G41" s="55"/>
      <c r="H41" s="55"/>
      <c r="I41" s="55"/>
      <c r="J41" s="61"/>
      <c r="K41" s="55"/>
      <c r="L41" s="79"/>
      <c r="M41" s="55"/>
      <c r="N41" s="55"/>
      <c r="O41" s="55"/>
      <c r="P41" s="55"/>
      <c r="Q41" s="55"/>
      <c r="R41" s="55"/>
      <c r="S41" s="82"/>
      <c r="T41" s="85"/>
      <c r="U41" s="55"/>
      <c r="V41" s="55"/>
      <c r="W41" s="76"/>
      <c r="X41" s="61"/>
      <c r="Y41" s="55"/>
      <c r="Z41" s="64"/>
      <c r="AA41" s="64"/>
      <c r="AB41" s="55"/>
      <c r="AC41" s="55"/>
      <c r="AD41" s="55"/>
      <c r="AE41" s="55"/>
      <c r="AF41" s="55"/>
      <c r="AG41" s="55"/>
      <c r="AH41" s="55"/>
      <c r="AI41" s="58"/>
    </row>
    <row r="42" spans="1:39" ht="15" customHeight="1" x14ac:dyDescent="0.4">
      <c r="B42" s="6" t="s">
        <v>6</v>
      </c>
      <c r="C42" s="66" t="s">
        <v>5</v>
      </c>
      <c r="D42" s="67"/>
      <c r="E42" s="71"/>
      <c r="F42" s="61"/>
      <c r="G42" s="55"/>
      <c r="H42" s="55"/>
      <c r="I42" s="55"/>
      <c r="J42" s="61"/>
      <c r="K42" s="55"/>
      <c r="L42" s="79"/>
      <c r="M42" s="55"/>
      <c r="N42" s="55"/>
      <c r="O42" s="55"/>
      <c r="P42" s="55"/>
      <c r="Q42" s="55"/>
      <c r="R42" s="55"/>
      <c r="S42" s="82"/>
      <c r="T42" s="85"/>
      <c r="U42" s="55"/>
      <c r="V42" s="55"/>
      <c r="W42" s="76"/>
      <c r="X42" s="61"/>
      <c r="Y42" s="55"/>
      <c r="Z42" s="64"/>
      <c r="AA42" s="64"/>
      <c r="AB42" s="55"/>
      <c r="AC42" s="55"/>
      <c r="AD42" s="55"/>
      <c r="AE42" s="55"/>
      <c r="AF42" s="55"/>
      <c r="AG42" s="55"/>
      <c r="AH42" s="55"/>
      <c r="AI42" s="58"/>
    </row>
    <row r="43" spans="1:39" ht="15" customHeight="1" x14ac:dyDescent="0.4">
      <c r="B43" s="7" t="s">
        <v>4</v>
      </c>
      <c r="C43" s="73" t="s">
        <v>0</v>
      </c>
      <c r="D43" s="74"/>
      <c r="E43" s="71"/>
      <c r="F43" s="61"/>
      <c r="G43" s="55"/>
      <c r="H43" s="55"/>
      <c r="I43" s="55"/>
      <c r="J43" s="61"/>
      <c r="K43" s="55"/>
      <c r="L43" s="79"/>
      <c r="M43" s="55"/>
      <c r="N43" s="55"/>
      <c r="O43" s="55"/>
      <c r="P43" s="55"/>
      <c r="Q43" s="55"/>
      <c r="R43" s="55"/>
      <c r="S43" s="82"/>
      <c r="T43" s="85"/>
      <c r="U43" s="55"/>
      <c r="V43" s="55"/>
      <c r="W43" s="76"/>
      <c r="X43" s="61"/>
      <c r="Y43" s="55"/>
      <c r="Z43" s="64"/>
      <c r="AA43" s="64"/>
      <c r="AB43" s="55"/>
      <c r="AC43" s="55"/>
      <c r="AD43" s="55"/>
      <c r="AE43" s="55"/>
      <c r="AF43" s="55"/>
      <c r="AG43" s="55"/>
      <c r="AH43" s="55"/>
      <c r="AI43" s="58"/>
    </row>
    <row r="44" spans="1:39" ht="15" customHeight="1" x14ac:dyDescent="0.4">
      <c r="B44" s="6" t="s">
        <v>3</v>
      </c>
      <c r="C44" s="66" t="s">
        <v>2</v>
      </c>
      <c r="D44" s="67"/>
      <c r="E44" s="71"/>
      <c r="F44" s="61"/>
      <c r="G44" s="55"/>
      <c r="H44" s="55"/>
      <c r="I44" s="55"/>
      <c r="J44" s="61"/>
      <c r="K44" s="55"/>
      <c r="L44" s="79"/>
      <c r="M44" s="55"/>
      <c r="N44" s="55"/>
      <c r="O44" s="55"/>
      <c r="P44" s="55"/>
      <c r="Q44" s="55"/>
      <c r="R44" s="55"/>
      <c r="S44" s="82"/>
      <c r="T44" s="85"/>
      <c r="U44" s="55"/>
      <c r="V44" s="55"/>
      <c r="W44" s="76"/>
      <c r="X44" s="61"/>
      <c r="Y44" s="55"/>
      <c r="Z44" s="64"/>
      <c r="AA44" s="64"/>
      <c r="AB44" s="55"/>
      <c r="AC44" s="55"/>
      <c r="AD44" s="55"/>
      <c r="AE44" s="55"/>
      <c r="AF44" s="55"/>
      <c r="AG44" s="55"/>
      <c r="AH44" s="55"/>
      <c r="AI44" s="58"/>
    </row>
    <row r="45" spans="1:39" ht="15" customHeight="1" thickBot="1" x14ac:dyDescent="0.45">
      <c r="B45" s="5" t="s">
        <v>1</v>
      </c>
      <c r="C45" s="68" t="s">
        <v>0</v>
      </c>
      <c r="D45" s="69"/>
      <c r="E45" s="72"/>
      <c r="F45" s="62"/>
      <c r="G45" s="56"/>
      <c r="H45" s="56"/>
      <c r="I45" s="56"/>
      <c r="J45" s="62"/>
      <c r="K45" s="56"/>
      <c r="L45" s="80"/>
      <c r="M45" s="56"/>
      <c r="N45" s="56"/>
      <c r="O45" s="56"/>
      <c r="P45" s="56"/>
      <c r="Q45" s="56"/>
      <c r="R45" s="56"/>
      <c r="S45" s="83"/>
      <c r="T45" s="86"/>
      <c r="U45" s="56"/>
      <c r="V45" s="56"/>
      <c r="W45" s="77"/>
      <c r="X45" s="62"/>
      <c r="Y45" s="56"/>
      <c r="Z45" s="65"/>
      <c r="AA45" s="65"/>
      <c r="AB45" s="56"/>
      <c r="AC45" s="56"/>
      <c r="AD45" s="56"/>
      <c r="AE45" s="56"/>
      <c r="AF45" s="56"/>
      <c r="AG45" s="56"/>
      <c r="AH45" s="56"/>
      <c r="AI45" s="59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69">
    <mergeCell ref="A3:AI3"/>
    <mergeCell ref="C4:D4"/>
    <mergeCell ref="B6:B7"/>
    <mergeCell ref="C6:C7"/>
    <mergeCell ref="D6:D7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23:A36"/>
    <mergeCell ref="B23:B24"/>
    <mergeCell ref="D23:D24"/>
    <mergeCell ref="B25:B26"/>
    <mergeCell ref="D25:D26"/>
    <mergeCell ref="B27:B28"/>
    <mergeCell ref="D27:D28"/>
    <mergeCell ref="B29:B30"/>
    <mergeCell ref="D29:D30"/>
    <mergeCell ref="K38:K45"/>
    <mergeCell ref="C40:D40"/>
    <mergeCell ref="C41:D41"/>
    <mergeCell ref="C42:D42"/>
    <mergeCell ref="B18:B19"/>
    <mergeCell ref="B20:B21"/>
    <mergeCell ref="B31:B32"/>
    <mergeCell ref="B33:B34"/>
    <mergeCell ref="B35:B36"/>
    <mergeCell ref="C38:D38"/>
    <mergeCell ref="F38:F45"/>
    <mergeCell ref="G38:G45"/>
    <mergeCell ref="H38:H45"/>
    <mergeCell ref="I38:I45"/>
    <mergeCell ref="J38:J45"/>
    <mergeCell ref="C43:D43"/>
    <mergeCell ref="C44:D44"/>
    <mergeCell ref="C45:D45"/>
    <mergeCell ref="E38:E45"/>
    <mergeCell ref="C39:D39"/>
    <mergeCell ref="AF38:AF45"/>
    <mergeCell ref="W38:W45"/>
    <mergeCell ref="L38:L45"/>
    <mergeCell ref="M38:M45"/>
    <mergeCell ref="N38:N45"/>
    <mergeCell ref="O38:O45"/>
    <mergeCell ref="P38:P45"/>
    <mergeCell ref="R38:R45"/>
    <mergeCell ref="S38:S45"/>
    <mergeCell ref="T38:T45"/>
    <mergeCell ref="U38:U45"/>
    <mergeCell ref="V38:V45"/>
    <mergeCell ref="Q38:Q45"/>
    <mergeCell ref="AG38:AG45"/>
    <mergeCell ref="AH38:AH45"/>
    <mergeCell ref="AI38:AI45"/>
    <mergeCell ref="X38:X45"/>
    <mergeCell ref="Y38:Y45"/>
    <mergeCell ref="Z38:Z45"/>
    <mergeCell ref="AA38:AA45"/>
    <mergeCell ref="AB38:AB45"/>
    <mergeCell ref="AC38:AC45"/>
    <mergeCell ref="AD38:AD45"/>
    <mergeCell ref="AE38:AE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R8 1月</vt:lpstr>
      <vt:lpstr>'R8 1月'!Print_Area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2025-11-18T05:33:49Z</cp:lastPrinted>
  <dcterms:created xsi:type="dcterms:W3CDTF">2023-02-24T07:28:09Z</dcterms:created>
  <dcterms:modified xsi:type="dcterms:W3CDTF">2025-11-23T05:29:20Z</dcterms:modified>
</cp:coreProperties>
</file>