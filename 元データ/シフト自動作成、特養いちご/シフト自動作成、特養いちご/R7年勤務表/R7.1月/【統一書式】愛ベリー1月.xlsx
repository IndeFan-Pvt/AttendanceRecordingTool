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"/>
    </mc:Choice>
  </mc:AlternateContent>
  <xr:revisionPtr revIDLastSave="0" documentId="13_ncr:1_{91D914C0-E90A-4F86-806B-4FB82204B6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7.1月" sheetId="39" r:id="rId1"/>
  </sheets>
  <definedNames>
    <definedName name="_xlnm.Print_Area" localSheetId="0">'R7.1月'!$A$1:$AM$48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3" i="39" l="1"/>
  <c r="AL33" i="39"/>
  <c r="AK33" i="39"/>
  <c r="AJ33" i="39"/>
  <c r="AM31" i="39"/>
  <c r="AL31" i="39"/>
  <c r="AK31" i="39"/>
  <c r="AJ31" i="39"/>
  <c r="AM29" i="39"/>
  <c r="AL29" i="39"/>
  <c r="AK29" i="39"/>
  <c r="AJ29" i="39"/>
  <c r="AM27" i="39"/>
  <c r="AL27" i="39"/>
  <c r="AK27" i="39"/>
  <c r="AJ27" i="39"/>
  <c r="AM25" i="39"/>
  <c r="AL25" i="39"/>
  <c r="AK25" i="39"/>
  <c r="AJ25" i="39"/>
  <c r="AM23" i="39"/>
  <c r="AL23" i="39"/>
  <c r="AK23" i="39"/>
  <c r="AJ23" i="39"/>
  <c r="AM20" i="39"/>
  <c r="AL20" i="39"/>
  <c r="AK20" i="39"/>
  <c r="AJ20" i="39"/>
  <c r="AM18" i="39"/>
  <c r="AL18" i="39"/>
  <c r="AK18" i="39"/>
  <c r="AJ18" i="39"/>
  <c r="AM16" i="39"/>
  <c r="AL16" i="39"/>
  <c r="AK16" i="39"/>
  <c r="AJ16" i="39"/>
  <c r="AM14" i="39"/>
  <c r="AL14" i="39"/>
  <c r="AK14" i="39"/>
  <c r="AJ14" i="39"/>
  <c r="AM12" i="39"/>
  <c r="AL12" i="39"/>
  <c r="AK12" i="39"/>
  <c r="AJ12" i="39"/>
  <c r="AM10" i="39"/>
  <c r="AL10" i="39"/>
  <c r="AK10" i="39"/>
  <c r="AJ10" i="39"/>
  <c r="AM8" i="39"/>
  <c r="AL8" i="39"/>
  <c r="AK8" i="39"/>
  <c r="AJ8" i="39"/>
</calcChain>
</file>

<file path=xl/sharedStrings.xml><?xml version="1.0" encoding="utf-8"?>
<sst xmlns="http://schemas.openxmlformats.org/spreadsheetml/2006/main" count="437" uniqueCount="81">
  <si>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</si>
  <si>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</si>
  <si>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</si>
  <si>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</si>
  <si>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</si>
  <si>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</si>
  <si>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</si>
  <si>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</si>
  <si>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</si>
  <si>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</si>
  <si>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</si>
  <si>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</si>
  <si>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</si>
  <si>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</si>
  <si>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日　勤</t>
    <rPh sb="0" eb="1">
      <t>ヒ</t>
    </rPh>
    <rPh sb="2" eb="3">
      <t>キン</t>
    </rPh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</si>
  <si>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</si>
  <si>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</si>
  <si>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</si>
  <si>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</si>
  <si>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</si>
  <si>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</si>
  <si>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</si>
  <si>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</si>
  <si>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</si>
  <si>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</si>
  <si>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</si>
  <si>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</si>
  <si>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山口　敬代</t>
    <rPh sb="0" eb="2">
      <t>ヤマグチ</t>
    </rPh>
    <rPh sb="3" eb="4">
      <t>タカ</t>
    </rPh>
    <rPh sb="4" eb="5">
      <t>ヨ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</si>
  <si>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</si>
  <si>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</si>
  <si>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</si>
  <si>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</si>
  <si>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</si>
  <si>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</si>
  <si>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</si>
  <si>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桃木野千鶴</t>
    <rPh sb="0" eb="3">
      <t>モモキノ</t>
    </rPh>
    <rPh sb="3" eb="5">
      <t>チズル</t>
    </rPh>
    <phoneticPr fontId="3"/>
  </si>
  <si>
    <t>介護職員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</si>
  <si>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</si>
  <si>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</si>
  <si>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</si>
  <si>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</si>
  <si>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</si>
  <si>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</si>
  <si>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</si>
  <si>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</si>
  <si>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</si>
  <si>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</si>
  <si>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</si>
  <si>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</si>
  <si>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</si>
  <si>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【R7. 1月】       </t>
    </r>
    <rPh sb="0" eb="2">
      <t>キンム</t>
    </rPh>
    <rPh sb="2" eb="3">
      <t>ヒョウ</t>
    </rPh>
    <rPh sb="11" eb="12">
      <t>ガツ</t>
    </rPh>
    <phoneticPr fontId="3"/>
  </si>
  <si>
    <t>水</t>
    <rPh sb="0" eb="1">
      <t>スイ</t>
    </rPh>
    <phoneticPr fontId="2"/>
  </si>
  <si>
    <t>夜</t>
    <rPh sb="0" eb="1">
      <t>ヤ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</si>
  <si>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</si>
  <si>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</si>
  <si>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</si>
  <si>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</si>
  <si>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SS・R会議</t>
    <rPh sb="4" eb="6">
      <t>カイギ</t>
    </rPh>
    <phoneticPr fontId="2"/>
  </si>
  <si>
    <t>往診　防災</t>
    <rPh sb="0" eb="2">
      <t>オウシン</t>
    </rPh>
    <rPh sb="3" eb="5">
      <t>ボウサイ</t>
    </rPh>
    <phoneticPr fontId="2"/>
  </si>
  <si>
    <t>職場環境</t>
    <rPh sb="0" eb="4">
      <t>ショクバカンキョウ</t>
    </rPh>
    <phoneticPr fontId="2"/>
  </si>
  <si>
    <t>広報</t>
    <rPh sb="0" eb="2">
      <t>コウホウ</t>
    </rPh>
    <phoneticPr fontId="2"/>
  </si>
  <si>
    <t>感染褥瘡</t>
    <rPh sb="0" eb="4">
      <t>カンセンジョクソウ</t>
    </rPh>
    <phoneticPr fontId="2"/>
  </si>
  <si>
    <t>イベント</t>
    <phoneticPr fontId="2"/>
  </si>
  <si>
    <t>喫茶</t>
    <rPh sb="0" eb="2">
      <t>キッサ</t>
    </rPh>
    <phoneticPr fontId="2"/>
  </si>
  <si>
    <t>朝礼　職員健康診断</t>
    <rPh sb="0" eb="2">
      <t>チョウレイ</t>
    </rPh>
    <rPh sb="3" eb="9">
      <t>ショクインケンコウシンダン</t>
    </rPh>
    <phoneticPr fontId="2"/>
  </si>
  <si>
    <t>往診　感染症勉強会</t>
    <rPh sb="0" eb="2">
      <t>オウシン</t>
    </rPh>
    <rPh sb="3" eb="4">
      <t>カン</t>
    </rPh>
    <rPh sb="4" eb="5">
      <t>ソメ</t>
    </rPh>
    <rPh sb="5" eb="6">
      <t>ショウ</t>
    </rPh>
    <rPh sb="6" eb="8">
      <t>ベンキョウ</t>
    </rPh>
    <rPh sb="8" eb="9">
      <t>カイ</t>
    </rPh>
    <phoneticPr fontId="2"/>
  </si>
  <si>
    <t>福引大会1F 食事</t>
    <rPh sb="0" eb="2">
      <t>フクビキ</t>
    </rPh>
    <rPh sb="2" eb="4">
      <t>タイカイ</t>
    </rPh>
    <rPh sb="7" eb="9">
      <t>ショクジ</t>
    </rPh>
    <phoneticPr fontId="2"/>
  </si>
  <si>
    <t>遅</t>
    <rPh sb="0" eb="1">
      <t>チ</t>
    </rPh>
    <phoneticPr fontId="2"/>
  </si>
  <si>
    <t>濱崎　由香里</t>
    <phoneticPr fontId="3"/>
  </si>
  <si>
    <t>休</t>
    <phoneticPr fontId="2"/>
  </si>
  <si>
    <t>神谷　雄太</t>
    <rPh sb="0" eb="2">
      <t>カミヤ</t>
    </rPh>
    <rPh sb="3" eb="5">
      <t>ユウタ</t>
    </rPh>
    <phoneticPr fontId="3"/>
  </si>
  <si>
    <t>休</t>
  </si>
  <si>
    <t>有</t>
  </si>
  <si>
    <t>　</t>
    <phoneticPr fontId="2"/>
  </si>
  <si>
    <t>07：00　～　16：00</t>
    <phoneticPr fontId="3"/>
  </si>
  <si>
    <t>リスク</t>
    <phoneticPr fontId="2"/>
  </si>
  <si>
    <t>08：30　～　17：30</t>
    <phoneticPr fontId="3"/>
  </si>
  <si>
    <t>12：00　～　21：00</t>
    <phoneticPr fontId="3"/>
  </si>
  <si>
    <t>遅</t>
  </si>
  <si>
    <t>夜</t>
  </si>
  <si>
    <t>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</si>
</sst>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2" borderId="18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4" fillId="0" borderId="0" xfId="1" applyFont="1">
      <alignment vertical="center"/>
    </xf>
    <xf numFmtId="0" fontId="7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5" fillId="0" borderId="18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CCCC"/>
      <color rgb="FFFF33CC"/>
      <color rgb="FFFF66FF"/>
      <color rgb="FFFF9933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47"/>
  <sheetViews>
    <sheetView tabSelected="1" topLeftCell="A4" zoomScale="110" zoomScaleNormal="110" workbookViewId="0">
      <selection activeCell="AN34" sqref="AN34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42" ht="15" customHeight="1" x14ac:dyDescent="0.4">
      <c r="A3" s="92" t="s">
        <v>50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</row>
    <row r="4" spans="1:42" ht="15" customHeight="1" x14ac:dyDescent="0.4">
      <c r="B4" s="35" t="s">
        <v>45</v>
      </c>
      <c r="C4" s="93" t="s">
        <v>44</v>
      </c>
      <c r="D4" s="93"/>
    </row>
    <row r="5" spans="1:42" ht="10.5" customHeight="1" x14ac:dyDescent="0.4"/>
    <row r="6" spans="1:42" ht="15" customHeight="1" x14ac:dyDescent="0.4">
      <c r="B6" s="94" t="s">
        <v>43</v>
      </c>
      <c r="C6" s="96" t="s">
        <v>42</v>
      </c>
      <c r="D6" s="94" t="s">
        <v>41</v>
      </c>
      <c r="E6" s="31">
        <v>1</v>
      </c>
      <c r="F6" s="31">
        <v>2</v>
      </c>
      <c r="G6" s="31">
        <v>3</v>
      </c>
      <c r="H6" s="33">
        <v>4</v>
      </c>
      <c r="I6" s="31">
        <v>5</v>
      </c>
      <c r="J6" s="31">
        <v>6</v>
      </c>
      <c r="K6" s="33">
        <v>7</v>
      </c>
      <c r="L6" s="33">
        <v>8</v>
      </c>
      <c r="M6" s="33">
        <v>9</v>
      </c>
      <c r="N6" s="31">
        <v>10</v>
      </c>
      <c r="O6" s="31">
        <v>11</v>
      </c>
      <c r="P6" s="33">
        <v>12</v>
      </c>
      <c r="Q6" s="33">
        <v>13</v>
      </c>
      <c r="R6" s="31">
        <v>14</v>
      </c>
      <c r="S6" s="31">
        <v>15</v>
      </c>
      <c r="T6" s="33">
        <v>16</v>
      </c>
      <c r="U6" s="33">
        <v>17</v>
      </c>
      <c r="V6" s="33">
        <v>18</v>
      </c>
      <c r="W6" s="33">
        <v>19</v>
      </c>
      <c r="X6" s="31">
        <v>20</v>
      </c>
      <c r="Y6" s="31">
        <v>21</v>
      </c>
      <c r="Z6" s="31">
        <v>22</v>
      </c>
      <c r="AA6" s="31">
        <v>23</v>
      </c>
      <c r="AB6" s="31">
        <v>24</v>
      </c>
      <c r="AC6" s="31">
        <v>25</v>
      </c>
      <c r="AD6" s="31">
        <v>26</v>
      </c>
      <c r="AE6" s="33">
        <v>27</v>
      </c>
      <c r="AF6" s="33">
        <v>28</v>
      </c>
      <c r="AG6" s="33">
        <v>29</v>
      </c>
      <c r="AH6" s="33">
        <v>30</v>
      </c>
      <c r="AI6" s="31">
        <v>31</v>
      </c>
      <c r="AJ6" s="30" t="s">
        <v>26</v>
      </c>
      <c r="AK6" s="13" t="s">
        <v>22</v>
      </c>
      <c r="AL6" s="13" t="s">
        <v>23</v>
      </c>
      <c r="AM6" s="13" t="s">
        <v>18</v>
      </c>
      <c r="AO6" s="10"/>
      <c r="AP6" s="10"/>
    </row>
    <row r="7" spans="1:42" ht="15" customHeight="1" x14ac:dyDescent="0.4">
      <c r="B7" s="95"/>
      <c r="C7" s="97"/>
      <c r="D7" s="97"/>
      <c r="E7" s="32" t="s">
        <v>51</v>
      </c>
      <c r="F7" s="32" t="s">
        <v>2</v>
      </c>
      <c r="G7" s="32" t="s">
        <v>1</v>
      </c>
      <c r="H7" s="32" t="s">
        <v>0</v>
      </c>
      <c r="I7" s="32" t="s">
        <v>40</v>
      </c>
      <c r="J7" s="32" t="s">
        <v>39</v>
      </c>
      <c r="K7" s="32" t="s">
        <v>38</v>
      </c>
      <c r="L7" s="32" t="s">
        <v>3</v>
      </c>
      <c r="M7" s="32" t="s">
        <v>2</v>
      </c>
      <c r="N7" s="32" t="s">
        <v>1</v>
      </c>
      <c r="O7" s="32" t="s">
        <v>0</v>
      </c>
      <c r="P7" s="32" t="s">
        <v>40</v>
      </c>
      <c r="Q7" s="32" t="s">
        <v>39</v>
      </c>
      <c r="R7" s="32" t="s">
        <v>38</v>
      </c>
      <c r="S7" s="32" t="s">
        <v>3</v>
      </c>
      <c r="T7" s="32" t="s">
        <v>2</v>
      </c>
      <c r="U7" s="32" t="s">
        <v>1</v>
      </c>
      <c r="V7" s="32" t="s">
        <v>0</v>
      </c>
      <c r="W7" s="32" t="s">
        <v>40</v>
      </c>
      <c r="X7" s="32" t="s">
        <v>39</v>
      </c>
      <c r="Y7" s="32" t="s">
        <v>38</v>
      </c>
      <c r="Z7" s="32" t="s">
        <v>3</v>
      </c>
      <c r="AA7" s="32" t="s">
        <v>2</v>
      </c>
      <c r="AB7" s="32" t="s">
        <v>1</v>
      </c>
      <c r="AC7" s="32" t="s">
        <v>0</v>
      </c>
      <c r="AD7" s="32" t="s">
        <v>40</v>
      </c>
      <c r="AE7" s="32" t="s">
        <v>39</v>
      </c>
      <c r="AF7" s="32" t="s">
        <v>38</v>
      </c>
      <c r="AG7" s="32" t="s">
        <v>3</v>
      </c>
      <c r="AH7" s="32" t="s">
        <v>2</v>
      </c>
      <c r="AI7" s="32" t="s">
        <v>1</v>
      </c>
      <c r="AJ7" s="29"/>
      <c r="AK7" s="13"/>
      <c r="AL7" s="13"/>
      <c r="AM7" s="13"/>
      <c r="AO7" s="34"/>
    </row>
    <row r="8" spans="1:42" ht="11.25" customHeight="1" x14ac:dyDescent="0.4">
      <c r="A8" s="88" t="s">
        <v>37</v>
      </c>
      <c r="B8" s="82" t="s">
        <v>28</v>
      </c>
      <c r="C8" s="21" t="s">
        <v>24</v>
      </c>
      <c r="D8" s="91" t="s">
        <v>68</v>
      </c>
      <c r="E8" s="43" t="s">
        <v>78</v>
      </c>
      <c r="F8" s="43" t="s">
        <v>71</v>
      </c>
      <c r="G8" s="43" t="s">
        <v>79</v>
      </c>
      <c r="H8" s="43" t="s">
        <v>79</v>
      </c>
      <c r="I8" s="43" t="s">
        <v>71</v>
      </c>
      <c r="J8" s="43" t="s">
        <v>80</v>
      </c>
      <c r="K8" s="43" t="s">
        <v>80</v>
      </c>
      <c r="L8" s="43" t="s">
        <v>80</v>
      </c>
      <c r="M8" s="43" t="s">
        <v>71</v>
      </c>
      <c r="N8" s="43" t="s">
        <v>80</v>
      </c>
      <c r="O8" s="43" t="s">
        <v>79</v>
      </c>
      <c r="P8" s="43" t="s">
        <v>79</v>
      </c>
      <c r="Q8" s="43" t="s">
        <v>71</v>
      </c>
      <c r="R8" s="43" t="s">
        <v>78</v>
      </c>
      <c r="S8" s="43" t="s">
        <v>71</v>
      </c>
      <c r="T8" s="43" t="s">
        <v>80</v>
      </c>
      <c r="U8" s="43" t="s">
        <v>79</v>
      </c>
      <c r="V8" s="43" t="s">
        <v>71</v>
      </c>
      <c r="W8" s="43" t="s">
        <v>80</v>
      </c>
      <c r="X8" s="43" t="s">
        <v>80</v>
      </c>
      <c r="Y8" s="43" t="s">
        <v>71</v>
      </c>
      <c r="Z8" s="43" t="s">
        <v>78</v>
      </c>
      <c r="AA8" s="43" t="s">
        <v>78</v>
      </c>
      <c r="AB8" s="43" t="s">
        <v>78</v>
      </c>
      <c r="AC8" s="43" t="s">
        <v>71</v>
      </c>
      <c r="AD8" s="43" t="s">
        <v>80</v>
      </c>
      <c r="AE8" s="43" t="s">
        <v>78</v>
      </c>
      <c r="AF8" s="43" t="s">
        <v>78</v>
      </c>
      <c r="AG8" s="43" t="s">
        <v>71</v>
      </c>
      <c r="AH8" s="43" t="s">
        <v>71</v>
      </c>
      <c r="AI8" s="43" t="s">
        <v>79</v>
      </c>
      <c r="AJ8" s="13">
        <f>COUNTIF(E8:AI8,"夜")</f>
        <v>6</v>
      </c>
      <c r="AK8" s="13">
        <f>COUNTIF(E8:AI8,"早")</f>
        <v>8</v>
      </c>
      <c r="AL8" s="13">
        <f>COUNTIF(E8:AI8,"遅")</f>
        <v>7</v>
      </c>
      <c r="AM8" s="13">
        <f>COUNTIF(E8:AI8,"休")</f>
        <v>10</v>
      </c>
      <c r="AO8" s="41"/>
    </row>
    <row r="9" spans="1:42" ht="11.25" customHeight="1" x14ac:dyDescent="0.4">
      <c r="A9" s="89"/>
      <c r="B9" s="83"/>
      <c r="C9" s="17" t="s">
        <v>17</v>
      </c>
      <c r="D9" s="85"/>
      <c r="E9" s="44"/>
      <c r="F9" s="44"/>
      <c r="G9" s="44"/>
      <c r="H9" s="44"/>
      <c r="I9" s="44"/>
      <c r="J9" s="44"/>
      <c r="K9" s="44"/>
      <c r="L9" s="44"/>
      <c r="M9" s="45"/>
      <c r="N9" s="46"/>
      <c r="O9" s="44"/>
      <c r="P9" s="44"/>
      <c r="Q9" s="46"/>
      <c r="R9" s="44"/>
      <c r="S9" s="44"/>
      <c r="T9" s="44"/>
      <c r="U9" s="46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13"/>
      <c r="AK9" s="13"/>
      <c r="AL9" s="13"/>
      <c r="AM9" s="13"/>
      <c r="AO9" s="41"/>
    </row>
    <row r="10" spans="1:42" ht="11.25" customHeight="1" x14ac:dyDescent="0.4">
      <c r="A10" s="89"/>
      <c r="B10" s="82" t="s">
        <v>36</v>
      </c>
      <c r="C10" s="21" t="s">
        <v>24</v>
      </c>
      <c r="D10" s="91" t="s">
        <v>35</v>
      </c>
      <c r="E10" s="43" t="s">
        <v>80</v>
      </c>
      <c r="F10" s="43" t="s">
        <v>79</v>
      </c>
      <c r="G10" s="43" t="s">
        <v>71</v>
      </c>
      <c r="H10" s="43" t="s">
        <v>80</v>
      </c>
      <c r="I10" s="43" t="s">
        <v>80</v>
      </c>
      <c r="J10" s="43" t="s">
        <v>78</v>
      </c>
      <c r="K10" s="43" t="s">
        <v>71</v>
      </c>
      <c r="L10" s="43" t="s">
        <v>79</v>
      </c>
      <c r="M10" s="43" t="s">
        <v>79</v>
      </c>
      <c r="N10" s="43" t="s">
        <v>71</v>
      </c>
      <c r="O10" s="43" t="s">
        <v>80</v>
      </c>
      <c r="P10" s="43" t="s">
        <v>80</v>
      </c>
      <c r="Q10" s="43" t="s">
        <v>78</v>
      </c>
      <c r="R10" s="43" t="s">
        <v>71</v>
      </c>
      <c r="S10" s="43" t="s">
        <v>80</v>
      </c>
      <c r="T10" s="43" t="s">
        <v>78</v>
      </c>
      <c r="U10" s="43" t="s">
        <v>78</v>
      </c>
      <c r="V10" s="43" t="s">
        <v>71</v>
      </c>
      <c r="W10" s="43" t="s">
        <v>71</v>
      </c>
      <c r="X10" s="43" t="s">
        <v>78</v>
      </c>
      <c r="Y10" s="43" t="s">
        <v>78</v>
      </c>
      <c r="Z10" s="43" t="s">
        <v>71</v>
      </c>
      <c r="AA10" s="43" t="s">
        <v>80</v>
      </c>
      <c r="AB10" s="43" t="s">
        <v>40</v>
      </c>
      <c r="AC10" s="43" t="s">
        <v>71</v>
      </c>
      <c r="AD10" s="43" t="s">
        <v>79</v>
      </c>
      <c r="AE10" s="43" t="s">
        <v>79</v>
      </c>
      <c r="AF10" s="43" t="s">
        <v>71</v>
      </c>
      <c r="AG10" s="43" t="s">
        <v>71</v>
      </c>
      <c r="AH10" s="43" t="s">
        <v>78</v>
      </c>
      <c r="AI10" s="43" t="s">
        <v>40</v>
      </c>
      <c r="AJ10" s="13">
        <f>COUNTIF(E10:AI10,"夜")</f>
        <v>5</v>
      </c>
      <c r="AK10" s="13">
        <f>COUNTIF(E10:AI10,"早")</f>
        <v>7</v>
      </c>
      <c r="AL10" s="13">
        <f>COUNTIF(E10:AI10,"遅")</f>
        <v>7</v>
      </c>
      <c r="AM10" s="13">
        <f>COUNTIF(E10:AI10,"休")</f>
        <v>10</v>
      </c>
      <c r="AO10" s="41"/>
    </row>
    <row r="11" spans="1:42" ht="11.25" customHeight="1" x14ac:dyDescent="0.4">
      <c r="A11" s="89"/>
      <c r="B11" s="83"/>
      <c r="C11" s="17" t="s">
        <v>17</v>
      </c>
      <c r="D11" s="85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5"/>
      <c r="U11" s="44"/>
      <c r="V11" s="44"/>
      <c r="W11" s="44"/>
      <c r="X11" s="44"/>
      <c r="Y11" s="44"/>
      <c r="Z11" s="46"/>
      <c r="AA11" s="44"/>
      <c r="AB11" s="44"/>
      <c r="AC11" s="44"/>
      <c r="AD11" s="45"/>
      <c r="AE11" s="44"/>
      <c r="AF11" s="45"/>
      <c r="AG11" s="44"/>
      <c r="AH11" s="44"/>
      <c r="AI11" s="44"/>
      <c r="AJ11" s="13"/>
      <c r="AK11" s="13"/>
      <c r="AL11" s="13"/>
      <c r="AM11" s="13"/>
      <c r="AO11" s="41"/>
    </row>
    <row r="12" spans="1:42" ht="11.25" customHeight="1" x14ac:dyDescent="0.4">
      <c r="A12" s="89"/>
      <c r="B12" s="82" t="s">
        <v>21</v>
      </c>
      <c r="C12" s="21" t="s">
        <v>24</v>
      </c>
      <c r="D12" s="91" t="s">
        <v>46</v>
      </c>
      <c r="E12" s="43" t="s">
        <v>40</v>
      </c>
      <c r="F12" s="43" t="s">
        <v>40</v>
      </c>
      <c r="G12" s="43" t="s">
        <v>40</v>
      </c>
      <c r="H12" s="43" t="s">
        <v>71</v>
      </c>
      <c r="I12" s="43" t="s">
        <v>71</v>
      </c>
      <c r="J12" s="43" t="s">
        <v>40</v>
      </c>
      <c r="K12" s="43" t="s">
        <v>40</v>
      </c>
      <c r="L12" s="43" t="s">
        <v>71</v>
      </c>
      <c r="M12" s="43" t="s">
        <v>40</v>
      </c>
      <c r="N12" s="43" t="s">
        <v>40</v>
      </c>
      <c r="O12" s="43" t="s">
        <v>71</v>
      </c>
      <c r="P12" s="43" t="s">
        <v>71</v>
      </c>
      <c r="Q12" s="43" t="s">
        <v>40</v>
      </c>
      <c r="R12" s="43" t="s">
        <v>40</v>
      </c>
      <c r="S12" s="43" t="s">
        <v>40</v>
      </c>
      <c r="T12" s="43" t="s">
        <v>40</v>
      </c>
      <c r="U12" s="43" t="s">
        <v>40</v>
      </c>
      <c r="V12" s="43" t="s">
        <v>71</v>
      </c>
      <c r="W12" s="43" t="s">
        <v>71</v>
      </c>
      <c r="X12" s="43" t="s">
        <v>40</v>
      </c>
      <c r="Y12" s="43" t="s">
        <v>40</v>
      </c>
      <c r="Z12" s="43" t="s">
        <v>40</v>
      </c>
      <c r="AA12" s="43" t="s">
        <v>40</v>
      </c>
      <c r="AB12" s="43" t="s">
        <v>71</v>
      </c>
      <c r="AC12" s="43" t="s">
        <v>71</v>
      </c>
      <c r="AD12" s="43" t="s">
        <v>71</v>
      </c>
      <c r="AE12" s="43" t="s">
        <v>40</v>
      </c>
      <c r="AF12" s="43" t="s">
        <v>40</v>
      </c>
      <c r="AG12" s="43" t="s">
        <v>40</v>
      </c>
      <c r="AH12" s="43" t="s">
        <v>40</v>
      </c>
      <c r="AI12" s="43" t="s">
        <v>40</v>
      </c>
      <c r="AJ12" s="13">
        <f>COUNTIF(E12:AI12,"夜")</f>
        <v>0</v>
      </c>
      <c r="AK12" s="13">
        <f>COUNTIF(E12:AI12,"早")</f>
        <v>0</v>
      </c>
      <c r="AL12" s="13">
        <f>COUNTIF(E12:AI12,"遅")</f>
        <v>0</v>
      </c>
      <c r="AM12" s="13">
        <f>COUNTIF(E12:AI12,"休")</f>
        <v>10</v>
      </c>
      <c r="AO12" s="41"/>
    </row>
    <row r="13" spans="1:42" ht="11.25" customHeight="1" x14ac:dyDescent="0.4">
      <c r="A13" s="89"/>
      <c r="B13" s="83"/>
      <c r="C13" s="17" t="s">
        <v>17</v>
      </c>
      <c r="D13" s="85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4"/>
      <c r="AA13" s="44"/>
      <c r="AB13" s="44"/>
      <c r="AC13" s="44"/>
      <c r="AD13" s="46"/>
      <c r="AE13" s="44"/>
      <c r="AF13" s="44"/>
      <c r="AG13" s="44"/>
      <c r="AH13" s="44"/>
      <c r="AI13" s="44"/>
      <c r="AJ13" s="13"/>
      <c r="AK13" s="13"/>
      <c r="AL13" s="13"/>
      <c r="AM13" s="13"/>
      <c r="AO13" s="41"/>
    </row>
    <row r="14" spans="1:42" ht="11.25" customHeight="1" x14ac:dyDescent="0.4">
      <c r="A14" s="89"/>
      <c r="B14" s="82" t="s">
        <v>21</v>
      </c>
      <c r="C14" s="21" t="s">
        <v>24</v>
      </c>
      <c r="D14" s="91" t="s">
        <v>48</v>
      </c>
      <c r="E14" s="43" t="s">
        <v>71</v>
      </c>
      <c r="F14" s="43" t="s">
        <v>80</v>
      </c>
      <c r="G14" s="43" t="s">
        <v>80</v>
      </c>
      <c r="H14" s="43" t="s">
        <v>78</v>
      </c>
      <c r="I14" s="43" t="s">
        <v>78</v>
      </c>
      <c r="J14" s="43" t="s">
        <v>71</v>
      </c>
      <c r="K14" s="43" t="s">
        <v>78</v>
      </c>
      <c r="L14" s="43" t="s">
        <v>40</v>
      </c>
      <c r="M14" s="43" t="s">
        <v>80</v>
      </c>
      <c r="N14" s="43" t="s">
        <v>71</v>
      </c>
      <c r="O14" s="43" t="s">
        <v>78</v>
      </c>
      <c r="P14" s="43" t="s">
        <v>78</v>
      </c>
      <c r="Q14" s="43" t="s">
        <v>71</v>
      </c>
      <c r="R14" s="43" t="s">
        <v>80</v>
      </c>
      <c r="S14" s="43" t="s">
        <v>78</v>
      </c>
      <c r="T14" s="43" t="s">
        <v>71</v>
      </c>
      <c r="U14" s="43" t="s">
        <v>40</v>
      </c>
      <c r="V14" s="43" t="s">
        <v>80</v>
      </c>
      <c r="W14" s="43" t="s">
        <v>71</v>
      </c>
      <c r="X14" s="43" t="s">
        <v>71</v>
      </c>
      <c r="Y14" s="43" t="s">
        <v>40</v>
      </c>
      <c r="Z14" s="43" t="s">
        <v>80</v>
      </c>
      <c r="AA14" s="43" t="s">
        <v>71</v>
      </c>
      <c r="AB14" s="43" t="s">
        <v>80</v>
      </c>
      <c r="AC14" s="43" t="s">
        <v>78</v>
      </c>
      <c r="AD14" s="43" t="s">
        <v>78</v>
      </c>
      <c r="AE14" s="43" t="s">
        <v>71</v>
      </c>
      <c r="AF14" s="43" t="s">
        <v>80</v>
      </c>
      <c r="AG14" s="43" t="s">
        <v>78</v>
      </c>
      <c r="AH14" s="43" t="s">
        <v>71</v>
      </c>
      <c r="AI14" s="43" t="s">
        <v>80</v>
      </c>
      <c r="AJ14" s="13">
        <f>COUNTIF(E14:AI14,"夜")</f>
        <v>0</v>
      </c>
      <c r="AK14" s="13">
        <f>COUNTIF(E14:AI14,"早")</f>
        <v>9</v>
      </c>
      <c r="AL14" s="13">
        <f>COUNTIF(E14:AI14,"遅")</f>
        <v>9</v>
      </c>
      <c r="AM14" s="13">
        <f>COUNTIF(E14:AI14,"休")</f>
        <v>10</v>
      </c>
      <c r="AO14" s="41"/>
    </row>
    <row r="15" spans="1:42" ht="11.25" customHeight="1" x14ac:dyDescent="0.4">
      <c r="A15" s="89"/>
      <c r="B15" s="83"/>
      <c r="C15" s="17" t="s">
        <v>17</v>
      </c>
      <c r="D15" s="85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13"/>
      <c r="AK15" s="13"/>
      <c r="AL15" s="13"/>
      <c r="AM15" s="13"/>
      <c r="AO15" s="41"/>
    </row>
    <row r="16" spans="1:42" ht="11.25" customHeight="1" x14ac:dyDescent="0.4">
      <c r="A16" s="89"/>
      <c r="B16" s="82" t="s">
        <v>21</v>
      </c>
      <c r="C16" s="21" t="s">
        <v>24</v>
      </c>
      <c r="D16" s="91" t="s">
        <v>34</v>
      </c>
      <c r="E16" s="43" t="s">
        <v>71</v>
      </c>
      <c r="F16" s="43" t="s">
        <v>78</v>
      </c>
      <c r="G16" s="43" t="s">
        <v>78</v>
      </c>
      <c r="H16" s="43" t="s">
        <v>71</v>
      </c>
      <c r="I16" s="43" t="s">
        <v>79</v>
      </c>
      <c r="J16" s="43" t="s">
        <v>79</v>
      </c>
      <c r="K16" s="43" t="s">
        <v>71</v>
      </c>
      <c r="L16" s="43" t="s">
        <v>78</v>
      </c>
      <c r="M16" s="43" t="s">
        <v>78</v>
      </c>
      <c r="N16" s="43" t="s">
        <v>78</v>
      </c>
      <c r="O16" s="43" t="s">
        <v>71</v>
      </c>
      <c r="P16" s="43" t="s">
        <v>71</v>
      </c>
      <c r="Q16" s="43" t="s">
        <v>80</v>
      </c>
      <c r="R16" s="43" t="s">
        <v>79</v>
      </c>
      <c r="S16" s="43" t="s">
        <v>79</v>
      </c>
      <c r="T16" s="43" t="s">
        <v>71</v>
      </c>
      <c r="U16" s="43" t="s">
        <v>80</v>
      </c>
      <c r="V16" s="43" t="s">
        <v>78</v>
      </c>
      <c r="W16" s="43" t="s">
        <v>78</v>
      </c>
      <c r="X16" s="43" t="s">
        <v>71</v>
      </c>
      <c r="Y16" s="43" t="s">
        <v>80</v>
      </c>
      <c r="Z16" s="43" t="s">
        <v>79</v>
      </c>
      <c r="AA16" s="43" t="s">
        <v>79</v>
      </c>
      <c r="AB16" s="43" t="s">
        <v>71</v>
      </c>
      <c r="AC16" s="43" t="s">
        <v>80</v>
      </c>
      <c r="AD16" s="43" t="s">
        <v>71</v>
      </c>
      <c r="AE16" s="43" t="s">
        <v>80</v>
      </c>
      <c r="AF16" s="43" t="s">
        <v>71</v>
      </c>
      <c r="AG16" s="43" t="s">
        <v>80</v>
      </c>
      <c r="AH16" s="43" t="s">
        <v>80</v>
      </c>
      <c r="AI16" s="43" t="s">
        <v>78</v>
      </c>
      <c r="AJ16" s="13">
        <f>COUNTIF(E16:AI16,"夜")</f>
        <v>6</v>
      </c>
      <c r="AK16" s="13">
        <f>COUNTIF(E16:AI16,"早")</f>
        <v>7</v>
      </c>
      <c r="AL16" s="13">
        <f>COUNTIF(E16:AI16,"遅")</f>
        <v>8</v>
      </c>
      <c r="AM16" s="13">
        <f>COUNTIF(E16:AI16,"休")</f>
        <v>10</v>
      </c>
      <c r="AO16" s="41"/>
    </row>
    <row r="17" spans="1:42" ht="11.25" customHeight="1" x14ac:dyDescent="0.4">
      <c r="A17" s="89"/>
      <c r="B17" s="83"/>
      <c r="C17" s="17" t="s">
        <v>17</v>
      </c>
      <c r="D17" s="85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44"/>
      <c r="Q17" s="44"/>
      <c r="R17" s="46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13"/>
      <c r="AK17" s="13"/>
      <c r="AL17" s="13"/>
      <c r="AM17" s="13"/>
      <c r="AO17" s="41"/>
    </row>
    <row r="18" spans="1:42" ht="11.25" customHeight="1" x14ac:dyDescent="0.4">
      <c r="A18" s="89"/>
      <c r="B18" s="82" t="s">
        <v>21</v>
      </c>
      <c r="C18" s="21" t="s">
        <v>20</v>
      </c>
      <c r="D18" s="37" t="s">
        <v>33</v>
      </c>
      <c r="E18" s="43" t="s">
        <v>71</v>
      </c>
      <c r="F18" s="43" t="s">
        <v>71</v>
      </c>
      <c r="G18" s="43" t="s">
        <v>71</v>
      </c>
      <c r="H18" s="43" t="s">
        <v>71</v>
      </c>
      <c r="I18" s="43" t="s">
        <v>71</v>
      </c>
      <c r="J18" s="43">
        <v>5</v>
      </c>
      <c r="K18" s="43" t="s">
        <v>71</v>
      </c>
      <c r="L18" s="43">
        <v>5</v>
      </c>
      <c r="M18" s="43">
        <v>5</v>
      </c>
      <c r="N18" s="43" t="s">
        <v>71</v>
      </c>
      <c r="O18" s="43" t="s">
        <v>71</v>
      </c>
      <c r="P18" s="43" t="s">
        <v>71</v>
      </c>
      <c r="Q18" s="43" t="s">
        <v>71</v>
      </c>
      <c r="R18" s="43">
        <v>5</v>
      </c>
      <c r="S18" s="43">
        <v>5</v>
      </c>
      <c r="T18" s="43" t="s">
        <v>71</v>
      </c>
      <c r="U18" s="43">
        <v>5</v>
      </c>
      <c r="V18" s="43" t="s">
        <v>71</v>
      </c>
      <c r="W18" s="43" t="s">
        <v>71</v>
      </c>
      <c r="X18" s="43">
        <v>5</v>
      </c>
      <c r="Y18" s="43">
        <v>5</v>
      </c>
      <c r="Z18" s="43" t="s">
        <v>71</v>
      </c>
      <c r="AA18" s="43">
        <v>5</v>
      </c>
      <c r="AB18" s="43">
        <v>5</v>
      </c>
      <c r="AC18" s="43" t="s">
        <v>71</v>
      </c>
      <c r="AD18" s="43" t="s">
        <v>71</v>
      </c>
      <c r="AE18" s="43" t="s">
        <v>71</v>
      </c>
      <c r="AF18" s="43">
        <v>5</v>
      </c>
      <c r="AG18" s="43" t="s">
        <v>71</v>
      </c>
      <c r="AH18" s="43">
        <v>5</v>
      </c>
      <c r="AI18" s="43">
        <v>5</v>
      </c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18</v>
      </c>
      <c r="AO18" s="41"/>
    </row>
    <row r="19" spans="1:42" ht="11.25" customHeight="1" x14ac:dyDescent="0.4">
      <c r="A19" s="89"/>
      <c r="B19" s="83"/>
      <c r="C19" s="17" t="s">
        <v>17</v>
      </c>
      <c r="D19" s="22" t="s">
        <v>32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13"/>
      <c r="AK19" s="13"/>
      <c r="AL19" s="13"/>
      <c r="AM19" s="13"/>
      <c r="AO19" s="41"/>
    </row>
    <row r="20" spans="1:42" ht="11.25" customHeight="1" x14ac:dyDescent="0.4">
      <c r="A20" s="89"/>
      <c r="B20" s="82" t="s">
        <v>21</v>
      </c>
      <c r="C20" s="21" t="s">
        <v>20</v>
      </c>
      <c r="D20" s="37" t="s">
        <v>31</v>
      </c>
      <c r="E20" s="43" t="s">
        <v>71</v>
      </c>
      <c r="F20" s="43" t="s">
        <v>71</v>
      </c>
      <c r="G20" s="43" t="s">
        <v>71</v>
      </c>
      <c r="H20" s="43">
        <v>4</v>
      </c>
      <c r="I20" s="43" t="s">
        <v>71</v>
      </c>
      <c r="J20" s="43" t="s">
        <v>71</v>
      </c>
      <c r="K20" s="43" t="s">
        <v>71</v>
      </c>
      <c r="L20" s="43">
        <v>4</v>
      </c>
      <c r="M20" s="43">
        <v>4</v>
      </c>
      <c r="N20" s="43">
        <v>4</v>
      </c>
      <c r="O20" s="43" t="s">
        <v>71</v>
      </c>
      <c r="P20" s="43" t="s">
        <v>71</v>
      </c>
      <c r="Q20" s="43" t="s">
        <v>71</v>
      </c>
      <c r="R20" s="43">
        <v>4</v>
      </c>
      <c r="S20" s="43">
        <v>4</v>
      </c>
      <c r="T20" s="43">
        <v>4</v>
      </c>
      <c r="U20" s="43" t="s">
        <v>71</v>
      </c>
      <c r="V20" s="43" t="s">
        <v>71</v>
      </c>
      <c r="W20" s="43" t="s">
        <v>71</v>
      </c>
      <c r="X20" s="43">
        <v>4</v>
      </c>
      <c r="Y20" s="43">
        <v>4</v>
      </c>
      <c r="Z20" s="43">
        <v>4</v>
      </c>
      <c r="AA20" s="43" t="s">
        <v>71</v>
      </c>
      <c r="AB20" s="43">
        <v>4</v>
      </c>
      <c r="AC20" s="43" t="s">
        <v>71</v>
      </c>
      <c r="AD20" s="43" t="s">
        <v>71</v>
      </c>
      <c r="AE20" s="43">
        <v>4</v>
      </c>
      <c r="AF20" s="43">
        <v>4</v>
      </c>
      <c r="AG20" s="43" t="s">
        <v>71</v>
      </c>
      <c r="AH20" s="43">
        <v>4</v>
      </c>
      <c r="AI20" s="43">
        <v>4</v>
      </c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16</v>
      </c>
      <c r="AO20" s="41"/>
    </row>
    <row r="21" spans="1:42" ht="11.25" customHeight="1" x14ac:dyDescent="0.4">
      <c r="A21" s="90"/>
      <c r="B21" s="83"/>
      <c r="C21" s="17" t="s">
        <v>17</v>
      </c>
      <c r="D21" s="36" t="s">
        <v>30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13"/>
      <c r="AK21" s="13"/>
      <c r="AL21" s="13"/>
      <c r="AM21" s="13"/>
      <c r="AO21" s="38"/>
    </row>
    <row r="22" spans="1:42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13"/>
      <c r="AK22" s="13"/>
      <c r="AL22" s="13"/>
      <c r="AM22" s="13"/>
      <c r="AO22" s="38"/>
    </row>
    <row r="23" spans="1:42" ht="11.25" customHeight="1" x14ac:dyDescent="0.4">
      <c r="A23" s="88" t="s">
        <v>29</v>
      </c>
      <c r="B23" s="82" t="s">
        <v>28</v>
      </c>
      <c r="C23" s="21" t="s">
        <v>24</v>
      </c>
      <c r="D23" s="80" t="s">
        <v>27</v>
      </c>
      <c r="E23" s="47" t="s">
        <v>56</v>
      </c>
      <c r="F23" s="47" t="s">
        <v>67</v>
      </c>
      <c r="G23" s="47" t="s">
        <v>53</v>
      </c>
      <c r="H23" s="47" t="s">
        <v>55</v>
      </c>
      <c r="I23" s="47" t="s">
        <v>67</v>
      </c>
      <c r="J23" s="47" t="s">
        <v>69</v>
      </c>
      <c r="K23" s="47" t="s">
        <v>55</v>
      </c>
      <c r="L23" s="47" t="s">
        <v>55</v>
      </c>
      <c r="M23" s="47" t="s">
        <v>55</v>
      </c>
      <c r="N23" s="47" t="s">
        <v>67</v>
      </c>
      <c r="O23" s="47" t="s">
        <v>53</v>
      </c>
      <c r="P23" s="47" t="s">
        <v>53</v>
      </c>
      <c r="Q23" s="47" t="s">
        <v>53</v>
      </c>
      <c r="R23" s="47" t="s">
        <v>55</v>
      </c>
      <c r="S23" s="47" t="s">
        <v>55</v>
      </c>
      <c r="T23" s="47" t="s">
        <v>52</v>
      </c>
      <c r="U23" s="47" t="s">
        <v>53</v>
      </c>
      <c r="V23" s="47" t="s">
        <v>52</v>
      </c>
      <c r="W23" s="47" t="s">
        <v>52</v>
      </c>
      <c r="X23" s="47" t="s">
        <v>53</v>
      </c>
      <c r="Y23" s="47" t="s">
        <v>55</v>
      </c>
      <c r="Z23" s="47" t="s">
        <v>55</v>
      </c>
      <c r="AA23" s="47" t="s">
        <v>67</v>
      </c>
      <c r="AB23" s="47" t="s">
        <v>67</v>
      </c>
      <c r="AC23" s="47" t="s">
        <v>53</v>
      </c>
      <c r="AD23" s="47" t="s">
        <v>53</v>
      </c>
      <c r="AE23" s="47" t="s">
        <v>67</v>
      </c>
      <c r="AF23" s="47" t="s">
        <v>52</v>
      </c>
      <c r="AG23" s="47" t="s">
        <v>52</v>
      </c>
      <c r="AH23" s="47" t="s">
        <v>53</v>
      </c>
      <c r="AI23" s="47" t="s">
        <v>67</v>
      </c>
      <c r="AJ23" s="13">
        <f>COUNTIF(E23:AI23,"夜")</f>
        <v>5</v>
      </c>
      <c r="AK23" s="13">
        <f>COUNTIF(E23:AI23,"早")</f>
        <v>8</v>
      </c>
      <c r="AL23" s="13">
        <f>COUNTIF(E23:AI23,"遅")</f>
        <v>8</v>
      </c>
      <c r="AM23" s="13">
        <f>COUNTIF(E23:AI23,"休")</f>
        <v>10</v>
      </c>
      <c r="AO23" s="41"/>
    </row>
    <row r="24" spans="1:42" ht="11.25" customHeight="1" x14ac:dyDescent="0.4">
      <c r="A24" s="89"/>
      <c r="B24" s="83"/>
      <c r="C24" s="17" t="s">
        <v>17</v>
      </c>
      <c r="D24" s="81"/>
      <c r="E24" s="48"/>
      <c r="F24" s="48"/>
      <c r="G24" s="48"/>
      <c r="H24" s="48"/>
      <c r="I24" s="49"/>
      <c r="J24" s="48"/>
      <c r="K24" s="48"/>
      <c r="L24" s="48"/>
      <c r="M24" s="48"/>
      <c r="N24" s="48"/>
      <c r="O24" s="48"/>
      <c r="P24" s="48"/>
      <c r="Q24" s="48"/>
      <c r="R24" s="51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3"/>
      <c r="AK24" s="13"/>
      <c r="AL24" s="13"/>
      <c r="AM24" s="13"/>
      <c r="AN24" s="40"/>
      <c r="AO24" s="42"/>
      <c r="AP24" s="39"/>
    </row>
    <row r="25" spans="1:42" ht="11.25" customHeight="1" x14ac:dyDescent="0.4">
      <c r="A25" s="89"/>
      <c r="B25" s="82" t="s">
        <v>21</v>
      </c>
      <c r="C25" s="21" t="s">
        <v>24</v>
      </c>
      <c r="D25" s="80" t="s">
        <v>70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 t="s">
        <v>55</v>
      </c>
      <c r="P25" s="47" t="s">
        <v>71</v>
      </c>
      <c r="Q25" s="47" t="s">
        <v>55</v>
      </c>
      <c r="R25" s="47" t="s">
        <v>67</v>
      </c>
      <c r="S25" s="47" t="s">
        <v>53</v>
      </c>
      <c r="T25" s="47" t="s">
        <v>55</v>
      </c>
      <c r="U25" s="47" t="s">
        <v>67</v>
      </c>
      <c r="V25" s="47" t="s">
        <v>67</v>
      </c>
      <c r="W25" s="47" t="s">
        <v>71</v>
      </c>
      <c r="X25" s="47" t="s">
        <v>55</v>
      </c>
      <c r="Y25" s="47" t="s">
        <v>67</v>
      </c>
      <c r="Z25" s="47" t="s">
        <v>67</v>
      </c>
      <c r="AA25" s="47" t="s">
        <v>71</v>
      </c>
      <c r="AB25" s="47" t="s">
        <v>71</v>
      </c>
      <c r="AC25" s="47" t="s">
        <v>55</v>
      </c>
      <c r="AD25" s="47" t="s">
        <v>55</v>
      </c>
      <c r="AE25" s="47" t="s">
        <v>52</v>
      </c>
      <c r="AF25" s="47" t="s">
        <v>71</v>
      </c>
      <c r="AG25" s="47" t="s">
        <v>55</v>
      </c>
      <c r="AH25" s="47" t="s">
        <v>67</v>
      </c>
      <c r="AI25" s="47" t="s">
        <v>53</v>
      </c>
      <c r="AJ25" s="13">
        <f>COUNTIF(E25:AI25,"夜")</f>
        <v>1</v>
      </c>
      <c r="AK25" s="13">
        <f>COUNTIF(E25:AI25,"早")</f>
        <v>7</v>
      </c>
      <c r="AL25" s="13">
        <f>COUNTIF(E25:AI25,"遅")</f>
        <v>6</v>
      </c>
      <c r="AM25" s="13">
        <f>COUNTIF(E25:AI25,"休")</f>
        <v>7</v>
      </c>
      <c r="AO25" s="41"/>
    </row>
    <row r="26" spans="1:42" ht="11.25" customHeight="1" x14ac:dyDescent="0.4">
      <c r="A26" s="89"/>
      <c r="B26" s="83"/>
      <c r="C26" s="17" t="s">
        <v>17</v>
      </c>
      <c r="D26" s="8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3"/>
      <c r="AK26" s="13"/>
      <c r="AL26" s="13"/>
      <c r="AM26" s="13"/>
      <c r="AO26" s="41"/>
    </row>
    <row r="27" spans="1:42" ht="11.25" customHeight="1" x14ac:dyDescent="0.4">
      <c r="A27" s="89"/>
      <c r="B27" s="82" t="s">
        <v>21</v>
      </c>
      <c r="C27" s="21" t="s">
        <v>24</v>
      </c>
      <c r="D27" s="80" t="s">
        <v>25</v>
      </c>
      <c r="E27" s="47" t="s">
        <v>52</v>
      </c>
      <c r="F27" s="47" t="s">
        <v>53</v>
      </c>
      <c r="G27" s="47" t="s">
        <v>55</v>
      </c>
      <c r="H27" s="47" t="s">
        <v>67</v>
      </c>
      <c r="I27" s="47" t="s">
        <v>53</v>
      </c>
      <c r="J27" s="47" t="s">
        <v>55</v>
      </c>
      <c r="K27" s="47" t="s">
        <v>67</v>
      </c>
      <c r="L27" s="47" t="s">
        <v>67</v>
      </c>
      <c r="M27" s="47" t="s">
        <v>53</v>
      </c>
      <c r="N27" s="47" t="s">
        <v>55</v>
      </c>
      <c r="O27" s="47" t="s">
        <v>67</v>
      </c>
      <c r="P27" s="47" t="s">
        <v>67</v>
      </c>
      <c r="Q27" s="47" t="s">
        <v>52</v>
      </c>
      <c r="R27" s="47" t="s">
        <v>53</v>
      </c>
      <c r="S27" s="47" t="s">
        <v>67</v>
      </c>
      <c r="T27" s="47" t="s">
        <v>67</v>
      </c>
      <c r="U27" s="47" t="s">
        <v>53</v>
      </c>
      <c r="V27" s="47" t="s">
        <v>69</v>
      </c>
      <c r="W27" s="47" t="s">
        <v>55</v>
      </c>
      <c r="X27" s="47" t="s">
        <v>52</v>
      </c>
      <c r="Y27" s="47" t="s">
        <v>52</v>
      </c>
      <c r="Z27" s="47" t="s">
        <v>53</v>
      </c>
      <c r="AA27" s="47" t="s">
        <v>69</v>
      </c>
      <c r="AB27" s="47" t="s">
        <v>55</v>
      </c>
      <c r="AC27" s="47" t="s">
        <v>67</v>
      </c>
      <c r="AD27" s="47" t="s">
        <v>67</v>
      </c>
      <c r="AE27" s="47" t="s">
        <v>53</v>
      </c>
      <c r="AF27" s="47" t="s">
        <v>55</v>
      </c>
      <c r="AG27" s="47" t="s">
        <v>54</v>
      </c>
      <c r="AH27" s="47" t="s">
        <v>55</v>
      </c>
      <c r="AI27" s="47" t="s">
        <v>55</v>
      </c>
      <c r="AJ27" s="13">
        <f>COUNTIF(E27:AI27,"夜")</f>
        <v>4</v>
      </c>
      <c r="AK27" s="13">
        <f>COUNTIF(E27:AI27,"早")</f>
        <v>8</v>
      </c>
      <c r="AL27" s="13">
        <f>COUNTIF(E27:AI27,"遅")</f>
        <v>9</v>
      </c>
      <c r="AM27" s="13">
        <f>COUNTIF(E27:AI27,"休")</f>
        <v>10</v>
      </c>
      <c r="AO27" s="41"/>
    </row>
    <row r="28" spans="1:42" ht="11.25" customHeight="1" x14ac:dyDescent="0.4">
      <c r="A28" s="89"/>
      <c r="B28" s="83"/>
      <c r="C28" s="17" t="s">
        <v>17</v>
      </c>
      <c r="D28" s="81"/>
      <c r="E28" s="48"/>
      <c r="F28" s="49"/>
      <c r="G28" s="48"/>
      <c r="H28" s="51"/>
      <c r="I28" s="48"/>
      <c r="J28" s="48"/>
      <c r="K28" s="48"/>
      <c r="L28" s="48"/>
      <c r="M28" s="48"/>
      <c r="N28" s="48"/>
      <c r="O28" s="49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3"/>
      <c r="AK28" s="13"/>
      <c r="AL28" s="13"/>
      <c r="AM28" s="13"/>
      <c r="AO28" s="41"/>
    </row>
    <row r="29" spans="1:42" ht="11.25" customHeight="1" x14ac:dyDescent="0.4">
      <c r="A29" s="89"/>
      <c r="B29" s="82" t="s">
        <v>21</v>
      </c>
      <c r="C29" s="21" t="s">
        <v>24</v>
      </c>
      <c r="D29" s="80" t="s">
        <v>47</v>
      </c>
      <c r="E29" s="47" t="s">
        <v>55</v>
      </c>
      <c r="F29" s="47" t="s">
        <v>55</v>
      </c>
      <c r="G29" s="47" t="s">
        <v>67</v>
      </c>
      <c r="H29" s="47" t="s">
        <v>53</v>
      </c>
      <c r="I29" s="47" t="s">
        <v>55</v>
      </c>
      <c r="J29" s="47" t="s">
        <v>67</v>
      </c>
      <c r="K29" s="47" t="s">
        <v>52</v>
      </c>
      <c r="L29" s="47" t="s">
        <v>53</v>
      </c>
      <c r="M29" s="47" t="s">
        <v>67</v>
      </c>
      <c r="N29" s="47" t="s">
        <v>52</v>
      </c>
      <c r="O29" s="47" t="s">
        <v>53</v>
      </c>
      <c r="P29" s="47" t="s">
        <v>55</v>
      </c>
      <c r="Q29" s="47" t="s">
        <v>67</v>
      </c>
      <c r="R29" s="47" t="s">
        <v>53</v>
      </c>
      <c r="S29" s="47" t="s">
        <v>53</v>
      </c>
      <c r="T29" s="47" t="s">
        <v>53</v>
      </c>
      <c r="U29" s="47" t="s">
        <v>55</v>
      </c>
      <c r="V29" s="47" t="s">
        <v>55</v>
      </c>
      <c r="W29" s="47" t="s">
        <v>67</v>
      </c>
      <c r="X29" s="47" t="s">
        <v>67</v>
      </c>
      <c r="Y29" s="47" t="s">
        <v>53</v>
      </c>
      <c r="Z29" s="47" t="s">
        <v>53</v>
      </c>
      <c r="AA29" s="47" t="s">
        <v>55</v>
      </c>
      <c r="AB29" s="47" t="s">
        <v>52</v>
      </c>
      <c r="AC29" s="47" t="s">
        <v>52</v>
      </c>
      <c r="AD29" s="47" t="s">
        <v>53</v>
      </c>
      <c r="AE29" s="47" t="s">
        <v>55</v>
      </c>
      <c r="AF29" s="47" t="s">
        <v>67</v>
      </c>
      <c r="AG29" s="47" t="s">
        <v>67</v>
      </c>
      <c r="AH29" s="47" t="s">
        <v>52</v>
      </c>
      <c r="AI29" s="47" t="s">
        <v>53</v>
      </c>
      <c r="AJ29" s="13">
        <f>COUNTIF(E29:AI29,"夜")</f>
        <v>5</v>
      </c>
      <c r="AK29" s="13">
        <f>COUNTIF(E29:AI29,"早")</f>
        <v>8</v>
      </c>
      <c r="AL29" s="13">
        <f>COUNTIF(E29:AI29,"遅")</f>
        <v>8</v>
      </c>
      <c r="AM29" s="13">
        <f>COUNTIF(E29:AI29,"休")</f>
        <v>10</v>
      </c>
      <c r="AO29" s="41"/>
    </row>
    <row r="30" spans="1:42" ht="11.25" customHeight="1" x14ac:dyDescent="0.4">
      <c r="A30" s="89"/>
      <c r="B30" s="83"/>
      <c r="C30" s="17" t="s">
        <v>17</v>
      </c>
      <c r="D30" s="81"/>
      <c r="E30" s="48"/>
      <c r="F30" s="48"/>
      <c r="G30" s="48"/>
      <c r="H30" s="49"/>
      <c r="I30" s="48"/>
      <c r="J30" s="48"/>
      <c r="K30" s="48"/>
      <c r="L30" s="48"/>
      <c r="M30" s="48"/>
      <c r="N30" s="48"/>
      <c r="O30" s="49"/>
      <c r="P30" s="48"/>
      <c r="Q30" s="49"/>
      <c r="R30" s="48"/>
      <c r="S30" s="48"/>
      <c r="T30" s="48"/>
      <c r="U30" s="51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3"/>
      <c r="AK30" s="13"/>
      <c r="AL30" s="13"/>
      <c r="AM30" s="13"/>
    </row>
    <row r="31" spans="1:42" ht="11.25" customHeight="1" x14ac:dyDescent="0.4">
      <c r="A31" s="89"/>
      <c r="B31" s="82" t="s">
        <v>21</v>
      </c>
      <c r="C31" s="21" t="s">
        <v>20</v>
      </c>
      <c r="D31" s="37" t="s">
        <v>19</v>
      </c>
      <c r="E31" s="43" t="s">
        <v>71</v>
      </c>
      <c r="F31" s="50">
        <v>7.5</v>
      </c>
      <c r="G31" s="50">
        <v>7.5</v>
      </c>
      <c r="H31" s="50">
        <v>7.5</v>
      </c>
      <c r="I31" s="43" t="s">
        <v>71</v>
      </c>
      <c r="J31" s="43" t="s">
        <v>71</v>
      </c>
      <c r="K31" s="50">
        <v>7.5</v>
      </c>
      <c r="L31" s="50">
        <v>7.5</v>
      </c>
      <c r="M31" s="50">
        <v>7.5</v>
      </c>
      <c r="N31" s="43" t="s">
        <v>71</v>
      </c>
      <c r="O31" s="50">
        <v>7.5</v>
      </c>
      <c r="P31" s="43" t="s">
        <v>71</v>
      </c>
      <c r="Q31" s="43" t="s">
        <v>71</v>
      </c>
      <c r="R31" s="50">
        <v>7.5</v>
      </c>
      <c r="S31" s="50">
        <v>7.5</v>
      </c>
      <c r="T31" s="50">
        <v>7.5</v>
      </c>
      <c r="U31" s="50">
        <v>7.5</v>
      </c>
      <c r="V31" s="43" t="s">
        <v>71</v>
      </c>
      <c r="W31" s="43" t="s">
        <v>71</v>
      </c>
      <c r="X31" s="52">
        <v>7.5</v>
      </c>
      <c r="Y31" s="50">
        <v>7.5</v>
      </c>
      <c r="Z31" s="43" t="s">
        <v>71</v>
      </c>
      <c r="AA31" s="50">
        <v>7.5</v>
      </c>
      <c r="AB31" s="50">
        <v>7.5</v>
      </c>
      <c r="AC31" s="50">
        <v>7.5</v>
      </c>
      <c r="AD31" s="47" t="s">
        <v>71</v>
      </c>
      <c r="AE31" s="50">
        <v>7.5</v>
      </c>
      <c r="AF31" s="50">
        <v>7.5</v>
      </c>
      <c r="AG31" s="50">
        <v>7.5</v>
      </c>
      <c r="AH31" s="50">
        <v>7.5</v>
      </c>
      <c r="AI31" s="50">
        <v>7.5</v>
      </c>
      <c r="AJ31" s="13">
        <f>COUNTIF(E31:AI31,"夜")</f>
        <v>0</v>
      </c>
      <c r="AK31" s="13">
        <f>COUNTIF(E31:AI31,"早")</f>
        <v>0</v>
      </c>
      <c r="AL31" s="13">
        <f>COUNTIF(E31:AI31,"遅")</f>
        <v>0</v>
      </c>
      <c r="AM31" s="13">
        <f>COUNTIF(E31:AI31,"休")</f>
        <v>10</v>
      </c>
    </row>
    <row r="32" spans="1:42" ht="11.25" customHeight="1" x14ac:dyDescent="0.4">
      <c r="A32" s="89"/>
      <c r="B32" s="83"/>
      <c r="C32" s="17" t="s">
        <v>17</v>
      </c>
      <c r="D32" s="22" t="s">
        <v>49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 t="s">
        <v>72</v>
      </c>
      <c r="AI32" s="48"/>
      <c r="AJ32" s="13"/>
      <c r="AK32" s="13"/>
      <c r="AL32" s="13"/>
      <c r="AM32" s="13"/>
      <c r="AO32" s="38"/>
    </row>
    <row r="33" spans="1:39" ht="11.25" customHeight="1" x14ac:dyDescent="0.4">
      <c r="A33" s="89"/>
      <c r="B33" s="82"/>
      <c r="C33" s="21"/>
      <c r="D33" s="37"/>
      <c r="E33" s="43"/>
      <c r="F33" s="50"/>
      <c r="G33" s="50"/>
      <c r="H33" s="50"/>
      <c r="I33" s="43"/>
      <c r="J33" s="43"/>
      <c r="K33" s="50"/>
      <c r="L33" s="50"/>
      <c r="M33" s="50"/>
      <c r="N33" s="43"/>
      <c r="O33" s="50"/>
      <c r="P33" s="43"/>
      <c r="Q33" s="43"/>
      <c r="R33" s="50"/>
      <c r="S33" s="50"/>
      <c r="T33" s="50"/>
      <c r="U33" s="50"/>
      <c r="V33" s="43"/>
      <c r="W33" s="43"/>
      <c r="X33" s="52"/>
      <c r="Y33" s="50"/>
      <c r="Z33" s="43"/>
      <c r="AA33" s="50"/>
      <c r="AB33" s="50"/>
      <c r="AC33" s="50"/>
      <c r="AD33" s="47"/>
      <c r="AE33" s="50"/>
      <c r="AF33" s="50"/>
      <c r="AG33" s="50"/>
      <c r="AH33" s="50"/>
      <c r="AI33" s="50"/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0</v>
      </c>
    </row>
    <row r="34" spans="1:39" ht="11.25" customHeight="1" x14ac:dyDescent="0.4">
      <c r="A34" s="89"/>
      <c r="B34" s="83"/>
      <c r="C34" s="17"/>
      <c r="D34" s="22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3"/>
      <c r="AK34" s="13"/>
      <c r="AL34" s="13"/>
      <c r="AM34" s="13"/>
    </row>
    <row r="35" spans="1:39" ht="11.25" customHeight="1" x14ac:dyDescent="0.4">
      <c r="A35" s="89"/>
      <c r="B35" s="82"/>
      <c r="C35" s="21"/>
      <c r="D35" s="84"/>
      <c r="E35" s="20"/>
      <c r="F35" s="19"/>
      <c r="G35" s="19"/>
      <c r="H35" s="18"/>
      <c r="I35" s="18" t="s">
        <v>73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3"/>
      <c r="AK35" s="13"/>
      <c r="AL35" s="13"/>
      <c r="AM35" s="13"/>
    </row>
    <row r="36" spans="1:39" ht="11.25" customHeight="1" x14ac:dyDescent="0.4">
      <c r="A36" s="90"/>
      <c r="B36" s="83"/>
      <c r="C36" s="17"/>
      <c r="D36" s="85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3"/>
      <c r="AK36" s="13"/>
      <c r="AL36" s="13"/>
      <c r="AM36" s="13"/>
    </row>
    <row r="37" spans="1:39" ht="18" customHeight="1" thickBot="1" x14ac:dyDescent="0.4">
      <c r="A37" s="34"/>
      <c r="B37" s="9"/>
      <c r="C37" s="12"/>
      <c r="D37" s="9"/>
      <c r="E37" s="11" t="s">
        <v>16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 x14ac:dyDescent="0.4">
      <c r="B38" s="8" t="s">
        <v>15</v>
      </c>
      <c r="C38" s="86" t="s">
        <v>74</v>
      </c>
      <c r="D38" s="87"/>
      <c r="E38" s="74"/>
      <c r="F38" s="68"/>
      <c r="G38" s="65"/>
      <c r="H38" s="65"/>
      <c r="I38" s="65"/>
      <c r="J38" s="68"/>
      <c r="K38" s="65" t="s">
        <v>64</v>
      </c>
      <c r="L38" s="77" t="s">
        <v>57</v>
      </c>
      <c r="M38" s="62" t="s">
        <v>58</v>
      </c>
      <c r="N38" s="65"/>
      <c r="O38" s="65"/>
      <c r="P38" s="65"/>
      <c r="Q38" s="65"/>
      <c r="R38" s="65" t="s">
        <v>66</v>
      </c>
      <c r="S38" s="65" t="s">
        <v>59</v>
      </c>
      <c r="T38" s="71"/>
      <c r="U38" s="65" t="s">
        <v>75</v>
      </c>
      <c r="V38" s="65"/>
      <c r="W38" s="68"/>
      <c r="X38" s="68" t="s">
        <v>60</v>
      </c>
      <c r="Y38" s="65"/>
      <c r="Z38" s="62"/>
      <c r="AA38" s="62" t="s">
        <v>65</v>
      </c>
      <c r="AB38" s="65" t="s">
        <v>61</v>
      </c>
      <c r="AC38" s="62"/>
      <c r="AD38" s="65"/>
      <c r="AE38" s="65" t="s">
        <v>62</v>
      </c>
      <c r="AF38" s="62"/>
      <c r="AG38" s="65" t="s">
        <v>63</v>
      </c>
      <c r="AH38" s="65"/>
      <c r="AI38" s="53"/>
    </row>
    <row r="39" spans="1:39" ht="15" customHeight="1" x14ac:dyDescent="0.4">
      <c r="B39" s="7" t="s">
        <v>14</v>
      </c>
      <c r="C39" s="56" t="s">
        <v>76</v>
      </c>
      <c r="D39" s="57"/>
      <c r="E39" s="75"/>
      <c r="F39" s="69"/>
      <c r="G39" s="66"/>
      <c r="H39" s="66"/>
      <c r="I39" s="66"/>
      <c r="J39" s="69"/>
      <c r="K39" s="66"/>
      <c r="L39" s="78"/>
      <c r="M39" s="63"/>
      <c r="N39" s="66"/>
      <c r="O39" s="66"/>
      <c r="P39" s="66"/>
      <c r="Q39" s="66"/>
      <c r="R39" s="66"/>
      <c r="S39" s="66"/>
      <c r="T39" s="72"/>
      <c r="U39" s="66"/>
      <c r="V39" s="66"/>
      <c r="W39" s="69"/>
      <c r="X39" s="69"/>
      <c r="Y39" s="66"/>
      <c r="Z39" s="63"/>
      <c r="AA39" s="63"/>
      <c r="AB39" s="66"/>
      <c r="AC39" s="63"/>
      <c r="AD39" s="66"/>
      <c r="AE39" s="66"/>
      <c r="AF39" s="63"/>
      <c r="AG39" s="66"/>
      <c r="AH39" s="66"/>
      <c r="AI39" s="54"/>
    </row>
    <row r="40" spans="1:39" ht="15" customHeight="1" x14ac:dyDescent="0.4">
      <c r="B40" s="7" t="s">
        <v>13</v>
      </c>
      <c r="C40" s="56" t="s">
        <v>12</v>
      </c>
      <c r="D40" s="57"/>
      <c r="E40" s="75"/>
      <c r="F40" s="69"/>
      <c r="G40" s="66"/>
      <c r="H40" s="66"/>
      <c r="I40" s="66"/>
      <c r="J40" s="69"/>
      <c r="K40" s="66"/>
      <c r="L40" s="78"/>
      <c r="M40" s="63"/>
      <c r="N40" s="66"/>
      <c r="O40" s="66"/>
      <c r="P40" s="66"/>
      <c r="Q40" s="66"/>
      <c r="R40" s="66"/>
      <c r="S40" s="66"/>
      <c r="T40" s="72"/>
      <c r="U40" s="66"/>
      <c r="V40" s="66"/>
      <c r="W40" s="69"/>
      <c r="X40" s="69"/>
      <c r="Y40" s="66"/>
      <c r="Z40" s="63"/>
      <c r="AA40" s="63"/>
      <c r="AB40" s="66"/>
      <c r="AC40" s="63"/>
      <c r="AD40" s="66"/>
      <c r="AE40" s="66"/>
      <c r="AF40" s="63"/>
      <c r="AG40" s="66"/>
      <c r="AH40" s="66"/>
      <c r="AI40" s="54"/>
    </row>
    <row r="41" spans="1:39" ht="15" customHeight="1" x14ac:dyDescent="0.4">
      <c r="B41" s="7" t="s">
        <v>11</v>
      </c>
      <c r="C41" s="56" t="s">
        <v>77</v>
      </c>
      <c r="D41" s="57"/>
      <c r="E41" s="75"/>
      <c r="F41" s="69"/>
      <c r="G41" s="66"/>
      <c r="H41" s="66"/>
      <c r="I41" s="66"/>
      <c r="J41" s="69"/>
      <c r="K41" s="66"/>
      <c r="L41" s="78"/>
      <c r="M41" s="63"/>
      <c r="N41" s="66"/>
      <c r="O41" s="66"/>
      <c r="P41" s="66"/>
      <c r="Q41" s="66"/>
      <c r="R41" s="66"/>
      <c r="S41" s="66"/>
      <c r="T41" s="72"/>
      <c r="U41" s="66"/>
      <c r="V41" s="66"/>
      <c r="W41" s="69"/>
      <c r="X41" s="69"/>
      <c r="Y41" s="66"/>
      <c r="Z41" s="63"/>
      <c r="AA41" s="63"/>
      <c r="AB41" s="66"/>
      <c r="AC41" s="63"/>
      <c r="AD41" s="66"/>
      <c r="AE41" s="66"/>
      <c r="AF41" s="63"/>
      <c r="AG41" s="66"/>
      <c r="AH41" s="66"/>
      <c r="AI41" s="54"/>
    </row>
    <row r="42" spans="1:39" ht="15" customHeight="1" x14ac:dyDescent="0.4">
      <c r="B42" s="6" t="s">
        <v>10</v>
      </c>
      <c r="C42" s="58" t="s">
        <v>9</v>
      </c>
      <c r="D42" s="59"/>
      <c r="E42" s="75"/>
      <c r="F42" s="69"/>
      <c r="G42" s="66"/>
      <c r="H42" s="66"/>
      <c r="I42" s="66"/>
      <c r="J42" s="69"/>
      <c r="K42" s="66"/>
      <c r="L42" s="78"/>
      <c r="M42" s="63"/>
      <c r="N42" s="66"/>
      <c r="O42" s="66"/>
      <c r="P42" s="66"/>
      <c r="Q42" s="66"/>
      <c r="R42" s="66"/>
      <c r="S42" s="66"/>
      <c r="T42" s="72"/>
      <c r="U42" s="66"/>
      <c r="V42" s="66"/>
      <c r="W42" s="69"/>
      <c r="X42" s="69"/>
      <c r="Y42" s="66"/>
      <c r="Z42" s="63"/>
      <c r="AA42" s="63"/>
      <c r="AB42" s="66"/>
      <c r="AC42" s="63"/>
      <c r="AD42" s="66"/>
      <c r="AE42" s="66"/>
      <c r="AF42" s="63"/>
      <c r="AG42" s="66"/>
      <c r="AH42" s="66"/>
      <c r="AI42" s="54"/>
    </row>
    <row r="43" spans="1:39" ht="15" customHeight="1" x14ac:dyDescent="0.4">
      <c r="B43" s="7" t="s">
        <v>8</v>
      </c>
      <c r="C43" s="56" t="s">
        <v>4</v>
      </c>
      <c r="D43" s="57"/>
      <c r="E43" s="75"/>
      <c r="F43" s="69"/>
      <c r="G43" s="66"/>
      <c r="H43" s="66"/>
      <c r="I43" s="66"/>
      <c r="J43" s="69"/>
      <c r="K43" s="66"/>
      <c r="L43" s="78"/>
      <c r="M43" s="63"/>
      <c r="N43" s="66"/>
      <c r="O43" s="66"/>
      <c r="P43" s="66"/>
      <c r="Q43" s="66"/>
      <c r="R43" s="66"/>
      <c r="S43" s="66"/>
      <c r="T43" s="72"/>
      <c r="U43" s="66"/>
      <c r="V43" s="66"/>
      <c r="W43" s="69"/>
      <c r="X43" s="69"/>
      <c r="Y43" s="66"/>
      <c r="Z43" s="63"/>
      <c r="AA43" s="63"/>
      <c r="AB43" s="66"/>
      <c r="AC43" s="63"/>
      <c r="AD43" s="66"/>
      <c r="AE43" s="66"/>
      <c r="AF43" s="63"/>
      <c r="AG43" s="66"/>
      <c r="AH43" s="66"/>
      <c r="AI43" s="54"/>
    </row>
    <row r="44" spans="1:39" ht="15" customHeight="1" x14ac:dyDescent="0.4">
      <c r="B44" s="6" t="s">
        <v>7</v>
      </c>
      <c r="C44" s="58" t="s">
        <v>6</v>
      </c>
      <c r="D44" s="59"/>
      <c r="E44" s="75"/>
      <c r="F44" s="69"/>
      <c r="G44" s="66"/>
      <c r="H44" s="66"/>
      <c r="I44" s="66"/>
      <c r="J44" s="69"/>
      <c r="K44" s="66"/>
      <c r="L44" s="78"/>
      <c r="M44" s="63"/>
      <c r="N44" s="66"/>
      <c r="O44" s="66"/>
      <c r="P44" s="66"/>
      <c r="Q44" s="66"/>
      <c r="R44" s="66"/>
      <c r="S44" s="66"/>
      <c r="T44" s="72"/>
      <c r="U44" s="66"/>
      <c r="V44" s="66"/>
      <c r="W44" s="69"/>
      <c r="X44" s="69"/>
      <c r="Y44" s="66"/>
      <c r="Z44" s="63"/>
      <c r="AA44" s="63"/>
      <c r="AB44" s="66"/>
      <c r="AC44" s="63"/>
      <c r="AD44" s="66"/>
      <c r="AE44" s="66"/>
      <c r="AF44" s="63"/>
      <c r="AG44" s="66"/>
      <c r="AH44" s="66"/>
      <c r="AI44" s="54"/>
    </row>
    <row r="45" spans="1:39" ht="15" customHeight="1" thickBot="1" x14ac:dyDescent="0.45">
      <c r="B45" s="5" t="s">
        <v>5</v>
      </c>
      <c r="C45" s="60" t="s">
        <v>4</v>
      </c>
      <c r="D45" s="61"/>
      <c r="E45" s="76"/>
      <c r="F45" s="70"/>
      <c r="G45" s="67"/>
      <c r="H45" s="67"/>
      <c r="I45" s="67"/>
      <c r="J45" s="70"/>
      <c r="K45" s="67"/>
      <c r="L45" s="79"/>
      <c r="M45" s="64"/>
      <c r="N45" s="67"/>
      <c r="O45" s="67"/>
      <c r="P45" s="67"/>
      <c r="Q45" s="67"/>
      <c r="R45" s="67"/>
      <c r="S45" s="67"/>
      <c r="T45" s="73"/>
      <c r="U45" s="67"/>
      <c r="V45" s="67"/>
      <c r="W45" s="70"/>
      <c r="X45" s="70"/>
      <c r="Y45" s="67"/>
      <c r="Z45" s="64"/>
      <c r="AA45" s="64"/>
      <c r="AB45" s="67"/>
      <c r="AC45" s="64"/>
      <c r="AD45" s="67"/>
      <c r="AE45" s="67"/>
      <c r="AF45" s="64"/>
      <c r="AG45" s="67"/>
      <c r="AH45" s="67"/>
      <c r="AI45" s="55"/>
    </row>
    <row r="46" spans="1:39" ht="15" customHeight="1" x14ac:dyDescent="0.4">
      <c r="E46" s="4"/>
      <c r="F46" s="4"/>
      <c r="G46" s="4"/>
      <c r="H46" s="4"/>
      <c r="I46" s="4"/>
    </row>
    <row r="47" spans="1:39" ht="15" customHeight="1" x14ac:dyDescent="0.4">
      <c r="E47" s="3"/>
      <c r="F47" s="3"/>
      <c r="G47" s="3"/>
      <c r="H47" s="3"/>
      <c r="I47" s="3"/>
    </row>
  </sheetData>
  <mergeCells count="70">
    <mergeCell ref="A3:AI3"/>
    <mergeCell ref="C4:D4"/>
    <mergeCell ref="B6:B7"/>
    <mergeCell ref="C6:C7"/>
    <mergeCell ref="D6:D7"/>
    <mergeCell ref="B12:B13"/>
    <mergeCell ref="D12:D13"/>
    <mergeCell ref="B14:B15"/>
    <mergeCell ref="D14:D15"/>
    <mergeCell ref="B16:B17"/>
    <mergeCell ref="D16:D17"/>
    <mergeCell ref="C38:D38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D29:D30"/>
    <mergeCell ref="B31:B32"/>
    <mergeCell ref="B33:B34"/>
    <mergeCell ref="B35:B36"/>
    <mergeCell ref="D35:D36"/>
    <mergeCell ref="P38:P45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Y38:Y45"/>
    <mergeCell ref="Z38:Z45"/>
    <mergeCell ref="AA38:AA45"/>
    <mergeCell ref="AB38:AB45"/>
    <mergeCell ref="Q38:Q45"/>
    <mergeCell ref="R38:R45"/>
    <mergeCell ref="S38:S45"/>
    <mergeCell ref="T38:T45"/>
    <mergeCell ref="U38:U45"/>
    <mergeCell ref="V38:V45"/>
    <mergeCell ref="AI38:AI45"/>
    <mergeCell ref="C39:D39"/>
    <mergeCell ref="C40:D40"/>
    <mergeCell ref="C41:D41"/>
    <mergeCell ref="C42:D42"/>
    <mergeCell ref="C43:D43"/>
    <mergeCell ref="C44:D44"/>
    <mergeCell ref="C45:D45"/>
    <mergeCell ref="AC38:AC45"/>
    <mergeCell ref="AD38:AD45"/>
    <mergeCell ref="AE38:AE45"/>
    <mergeCell ref="AF38:AF45"/>
    <mergeCell ref="AG38:AG45"/>
    <mergeCell ref="AH38:AH45"/>
    <mergeCell ref="W38:W45"/>
    <mergeCell ref="X38:X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R7.1月</vt:lpstr>
      <vt:lpstr>R7.1月!Print_Area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2024-12-17T15:08:14Z</cp:lastPrinted>
  <dcterms:created xsi:type="dcterms:W3CDTF">2023-02-24T07:28:09Z</dcterms:created>
  <dcterms:modified xsi:type="dcterms:W3CDTF">2024-12-23T14:23:27Z</dcterms:modified>
</cp:coreProperties>
</file>